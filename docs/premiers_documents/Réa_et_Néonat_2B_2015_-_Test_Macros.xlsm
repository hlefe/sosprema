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filterPrivacy="1" codeName="ThisWorkbook" defaultThemeVersion="124226"/>
  <bookViews>
    <workbookView xWindow="0" yWindow="0" windowWidth="20490" windowHeight="7755" tabRatio="729" activeTab="2"/>
  </bookViews>
  <sheets>
    <sheet name="Modèle" sheetId="2" r:id="rId1"/>
    <sheet name="Agen" sheetId="62" r:id="rId2"/>
    <sheet name="Amiens" sheetId="4" r:id="rId3"/>
    <sheet name="Angers" sheetId="5" r:id="rId4"/>
    <sheet name="Arras" sheetId="6" r:id="rId5"/>
    <sheet name="Auxerre" sheetId="7" r:id="rId6"/>
    <sheet name="Avignon" sheetId="8" r:id="rId7"/>
    <sheet name="Avranches" sheetId="9" r:id="rId8"/>
    <sheet name="Argenteuil" sheetId="10" r:id="rId9"/>
    <sheet name="Bayonne" sheetId="11" r:id="rId10"/>
    <sheet name="Beauvais" sheetId="12" r:id="rId11"/>
    <sheet name="Blois" sheetId="14" r:id="rId12"/>
    <sheet name="Bondy" sheetId="13" r:id="rId13"/>
    <sheet name="Boulogne sur Mer" sheetId="15" r:id="rId14"/>
    <sheet name="Bry sur Marne" sheetId="1" r:id="rId15"/>
    <sheet name="Calais" sheetId="20" r:id="rId16"/>
    <sheet name="Chambéry" sheetId="19" r:id="rId17"/>
    <sheet name="Corbeil Essonne" sheetId="18" r:id="rId18"/>
    <sheet name="Creil" sheetId="17" r:id="rId19"/>
    <sheet name="Créteil" sheetId="16" r:id="rId20"/>
    <sheet name="Clermont Ferrand" sheetId="21" r:id="rId21"/>
    <sheet name="Cholet" sheetId="22" r:id="rId22"/>
    <sheet name="Dijon" sheetId="23" r:id="rId23"/>
    <sheet name="Eaubonne" sheetId="24" r:id="rId24"/>
    <sheet name="Fontainebleau" sheetId="25" r:id="rId25"/>
    <sheet name="Grenoble" sheetId="26" r:id="rId26"/>
    <sheet name="Hagueneau" sheetId="27" r:id="rId27"/>
    <sheet name="Jossigny" sheetId="28" r:id="rId28"/>
    <sheet name="La Roche sur Yon" sheetId="29" r:id="rId29"/>
    <sheet name="Le Blanc Mesnil" sheetId="30" r:id="rId30"/>
    <sheet name="Le Havre" sheetId="31" r:id="rId31"/>
    <sheet name="Le Kremlin Bicetre" sheetId="32" r:id="rId32"/>
    <sheet name="Le Mans" sheetId="33" r:id="rId33"/>
    <sheet name="Le Mans Clinique" sheetId="36" r:id="rId34"/>
    <sheet name="Lens" sheetId="38" r:id="rId35"/>
    <sheet name="Libourne" sheetId="37" r:id="rId36"/>
    <sheet name="Lille Saint Vincent" sheetId="39" r:id="rId37"/>
    <sheet name="Monaco" sheetId="53" r:id="rId38"/>
    <sheet name="Saint Brieuc" sheetId="40" r:id="rId39"/>
    <sheet name="Saint Etienne" sheetId="52" r:id="rId40"/>
    <sheet name="Saint Nazaire" sheetId="50" r:id="rId41"/>
    <sheet name="Saintes" sheetId="51" r:id="rId42"/>
    <sheet name="Surennes" sheetId="49" r:id="rId43"/>
    <sheet name="Strasbourg" sheetId="48" r:id="rId44"/>
    <sheet name="Thionville" sheetId="47" r:id="rId45"/>
    <sheet name="Toulouse" sheetId="46" r:id="rId46"/>
    <sheet name="Tours" sheetId="45" r:id="rId47"/>
    <sheet name="Valenciennes" sheetId="44" r:id="rId48"/>
    <sheet name="Vannes" sheetId="42" r:id="rId49"/>
    <sheet name="Voiron" sheetId="63" r:id="rId50"/>
    <sheet name="Recap Adresses" sheetId="54" r:id="rId51"/>
    <sheet name="Récap Mail" sheetId="59" r:id="rId52"/>
    <sheet name="Recap Téléphones" sheetId="55" r:id="rId53"/>
    <sheet name="Recap Niveau" sheetId="56" r:id="rId54"/>
    <sheet name="Recap Livraisons" sheetId="57" r:id="rId55"/>
    <sheet name="Recap Personnel Hopitaux" sheetId="58" r:id="rId56"/>
    <sheet name="Synthèse" sheetId="60" r:id="rId57"/>
  </sheets>
  <definedNames>
    <definedName name="_xlnm._FilterDatabase" localSheetId="50" hidden="1">'Recap Adresses'!$A$1:$D$52</definedName>
    <definedName name="_xlnm._FilterDatabase" localSheetId="56" hidden="1">Synthèse!$A$1:$G$51</definedName>
  </definedNames>
  <calcPr calcId="152511" calcMode="manual"/>
  <fileRecoveryPr repairLoad="1"/>
</workbook>
</file>

<file path=xl/calcChain.xml><?xml version="1.0" encoding="utf-8"?>
<calcChain xmlns="http://schemas.openxmlformats.org/spreadsheetml/2006/main">
  <c r="E3" i="57" l="1"/>
  <c r="E4" i="57"/>
  <c r="E5" i="57"/>
  <c r="E6" i="57"/>
  <c r="E7" i="57"/>
  <c r="E8" i="57"/>
  <c r="E9" i="57"/>
  <c r="E10" i="57"/>
  <c r="E11" i="57"/>
  <c r="E12" i="57"/>
  <c r="E13" i="57"/>
  <c r="E14" i="57"/>
  <c r="E15" i="57"/>
  <c r="E16" i="57"/>
  <c r="E17" i="57"/>
  <c r="E18" i="57"/>
  <c r="E19" i="57"/>
  <c r="E20" i="57"/>
  <c r="E21" i="57"/>
  <c r="E22" i="57"/>
  <c r="E23" i="57"/>
  <c r="E24" i="57"/>
  <c r="E25" i="57"/>
  <c r="E26" i="57"/>
  <c r="E27" i="57"/>
  <c r="E28" i="57"/>
  <c r="E29" i="57"/>
  <c r="E30" i="57"/>
  <c r="E31" i="57"/>
  <c r="E32" i="57"/>
  <c r="E33" i="57"/>
  <c r="E34" i="57"/>
  <c r="E35" i="57"/>
  <c r="E36" i="57"/>
  <c r="E37" i="57"/>
  <c r="E38" i="57"/>
  <c r="E39" i="57"/>
  <c r="E40" i="57"/>
  <c r="E41" i="57"/>
  <c r="E42" i="57"/>
  <c r="E43" i="57"/>
  <c r="E44" i="57"/>
  <c r="E45" i="57"/>
  <c r="E46" i="57"/>
  <c r="E47" i="57"/>
  <c r="E48" i="57"/>
  <c r="E49" i="57"/>
  <c r="G2" i="58"/>
  <c r="F2" i="58"/>
  <c r="E2" i="58"/>
  <c r="D2" i="58"/>
  <c r="C2" i="58"/>
  <c r="B2" i="58"/>
  <c r="A2" i="58"/>
  <c r="D2" i="57"/>
  <c r="D50" i="57" s="1"/>
  <c r="H5" i="57" s="1"/>
  <c r="C2" i="57"/>
  <c r="C50" i="57" s="1"/>
  <c r="H4" i="57" s="1"/>
  <c r="J4" i="57" s="1"/>
  <c r="B2" i="57"/>
  <c r="B50" i="57" s="1"/>
  <c r="H3" i="57" s="1"/>
  <c r="J3" i="57" s="1"/>
  <c r="A2" i="57"/>
  <c r="E2" i="57" s="1"/>
  <c r="D2" i="56"/>
  <c r="C2" i="56"/>
  <c r="B2" i="56"/>
  <c r="A2" i="56"/>
  <c r="E2" i="55"/>
  <c r="A2" i="55"/>
  <c r="E50" i="57" l="1"/>
  <c r="G10" i="57" s="1"/>
  <c r="H10" i="57" s="1"/>
  <c r="I3" i="57"/>
  <c r="J5" i="57"/>
  <c r="G5" i="53"/>
  <c r="G8" i="57" l="1"/>
  <c r="H8" i="57" s="1"/>
  <c r="G9" i="57"/>
  <c r="H9" i="57" s="1"/>
</calcChain>
</file>

<file path=xl/sharedStrings.xml><?xml version="1.0" encoding="utf-8"?>
<sst xmlns="http://schemas.openxmlformats.org/spreadsheetml/2006/main" count="2356" uniqueCount="573">
  <si>
    <t>Hopital Privé de Marne la Vallée</t>
  </si>
  <si>
    <t>Nom</t>
  </si>
  <si>
    <t>Adresse</t>
  </si>
  <si>
    <t>Prénom</t>
  </si>
  <si>
    <t>Fonction</t>
  </si>
  <si>
    <t>Mail</t>
  </si>
  <si>
    <t>Niveau</t>
  </si>
  <si>
    <t>Nombre de lits</t>
  </si>
  <si>
    <t>Nb de Prémas / an</t>
  </si>
  <si>
    <t>Relations SOS Préma</t>
  </si>
  <si>
    <t>Guides</t>
  </si>
  <si>
    <t>Pochettes</t>
  </si>
  <si>
    <t>Tél</t>
  </si>
  <si>
    <t>Contacts</t>
  </si>
  <si>
    <t>33 Rue Léon Menu</t>
  </si>
  <si>
    <t>2A</t>
  </si>
  <si>
    <t>Oui</t>
  </si>
  <si>
    <t>KRAELNBUHL</t>
  </si>
  <si>
    <t>Anaïs</t>
  </si>
  <si>
    <t>IDE</t>
  </si>
  <si>
    <t>Ligne directe</t>
  </si>
  <si>
    <t>Portable</t>
  </si>
  <si>
    <t>anaisk877@gmail.com</t>
  </si>
  <si>
    <t xml:space="preserve">Responsable Formation </t>
  </si>
  <si>
    <t>Coordonnées</t>
  </si>
  <si>
    <t>Participation JDS</t>
  </si>
  <si>
    <t>Nb de soignants</t>
  </si>
  <si>
    <t>Date</t>
  </si>
  <si>
    <t>Résumé des appels</t>
  </si>
  <si>
    <t>Contact à sa demande pour envoi de pochettes pour 2015. 40 Pochettes consommées en 3 mois. Prévision de 12 par mois, envoi en juin 2015 de 6 cartons. Néonat ouverte depuis Janvier 2015.</t>
  </si>
  <si>
    <t>Non</t>
  </si>
  <si>
    <t>Convention</t>
  </si>
  <si>
    <t>Visites Bénévoles</t>
  </si>
  <si>
    <t>Café Parents</t>
  </si>
  <si>
    <t>CH Agen</t>
  </si>
  <si>
    <t>Centre Hopitalier d'Agen</t>
  </si>
  <si>
    <t>route de villeneuve</t>
  </si>
  <si>
    <t>2B</t>
  </si>
  <si>
    <t>Renier</t>
  </si>
  <si>
    <t>Muriel</t>
  </si>
  <si>
    <t>Cadre de Mater</t>
  </si>
  <si>
    <t>renierm@ch-agen.fr</t>
  </si>
  <si>
    <t>Mme Renier Muriel</t>
  </si>
  <si>
    <t>1 médecin</t>
  </si>
  <si>
    <t>Eu Mme Rénier. Ok pour 144 poch/an. Recontacter pour JDS. Prévenir si arrivée CL sur Agen</t>
  </si>
  <si>
    <t>Cadre Néonat</t>
  </si>
  <si>
    <t>neonatologiesi@chu-amiens.fr</t>
  </si>
  <si>
    <t>Legrand</t>
  </si>
  <si>
    <t>Dominique</t>
  </si>
  <si>
    <t>Réanéonat</t>
  </si>
  <si>
    <t>CHU Angers</t>
  </si>
  <si>
    <t>CHU d'Angers</t>
  </si>
  <si>
    <t>4 rue Larey</t>
  </si>
  <si>
    <t>Chevreux</t>
  </si>
  <si>
    <t>Solène</t>
  </si>
  <si>
    <t>Yvin</t>
  </si>
  <si>
    <t>Gaelle</t>
  </si>
  <si>
    <t>Cadre Suppléante</t>
  </si>
  <si>
    <t>Vallée</t>
  </si>
  <si>
    <t>Geraldine</t>
  </si>
  <si>
    <t>gaelle.yvin@chu-angers.fr</t>
  </si>
  <si>
    <t>geraldine.vallee@chu-angers.fr</t>
  </si>
  <si>
    <t>Ajuster à 204 poch/an pour des problèmes de stockage et de surdotation. Ne veut plus de livret car donne pochette en systématique. Ne connait pas le livret deuil, envoyer 3 ou 4 exeplaires à Mme Yvin.</t>
  </si>
  <si>
    <t>Référente Pochette</t>
  </si>
  <si>
    <t xml:space="preserve"> </t>
  </si>
  <si>
    <t>CH d'Arras</t>
  </si>
  <si>
    <t>Boulevard Besnier</t>
  </si>
  <si>
    <t>Brigitte Stanek</t>
  </si>
  <si>
    <t>0321211834 brigitte.stanek@ch-arras.fr</t>
  </si>
  <si>
    <t>Courcol</t>
  </si>
  <si>
    <t>Jean Philippe</t>
  </si>
  <si>
    <t>Cadre</t>
  </si>
  <si>
    <t>jean-philippe.courcol@ch-arras.fr</t>
  </si>
  <si>
    <t>Theret</t>
  </si>
  <si>
    <t>Bernard</t>
  </si>
  <si>
    <t>Chef de Service</t>
  </si>
  <si>
    <t>Deuil</t>
  </si>
  <si>
    <t>CH d'Auxerre</t>
  </si>
  <si>
    <t>2 bd de Verdun BP 69</t>
  </si>
  <si>
    <t>Toussaint</t>
  </si>
  <si>
    <t>Frédérique</t>
  </si>
  <si>
    <t>ftoussaint@ch-auxerre.fr</t>
  </si>
  <si>
    <t>Adam</t>
  </si>
  <si>
    <t>Brigitte</t>
  </si>
  <si>
    <t>badam@ch-auxerre.fr</t>
  </si>
  <si>
    <t>Cochelin Mathilde</t>
  </si>
  <si>
    <t>mcochelin@ch-auxerre.fr</t>
  </si>
  <si>
    <t>Eu pour faire le point, on continue comme ça pour les pochettes, ne connait pas livret deuil, on lui en envoie 1 pour tester.</t>
  </si>
  <si>
    <t>Del Aguila</t>
  </si>
  <si>
    <t>Sandrine</t>
  </si>
  <si>
    <t>sdelaguila@ch-avignon.fr</t>
  </si>
  <si>
    <t>CH Avignon</t>
  </si>
  <si>
    <t>305 rue Raoul Follereau</t>
  </si>
  <si>
    <t>250-300</t>
  </si>
  <si>
    <t>Del Aguila Sandrine</t>
  </si>
  <si>
    <t>idem</t>
  </si>
  <si>
    <t>Envoyer les coord de la cadre à Julie Lloret pour rdv prés asso / livrets / pochettes. Envoyer mail pour JDS</t>
  </si>
  <si>
    <t>CH d'Avranches Granville</t>
  </si>
  <si>
    <t>CH d'Avranche Granville</t>
  </si>
  <si>
    <t>59 rue de la liberté BP 338</t>
  </si>
  <si>
    <t>Leriquier</t>
  </si>
  <si>
    <t>Christèle</t>
  </si>
  <si>
    <t>christele.leriquier@ch-avranches-granville.fr</t>
  </si>
  <si>
    <t>Guérin</t>
  </si>
  <si>
    <t>Jessy</t>
  </si>
  <si>
    <t>Cadre Mater</t>
  </si>
  <si>
    <t>Eu Mme Leriquier, ok pour continuer 50 guides. Contact avec Mme Guérin pour envoie 24 pochettes pour tester mise en place distribution en mater.</t>
  </si>
  <si>
    <t>CHU Amiens</t>
  </si>
  <si>
    <t>CHU d'Amiens</t>
  </si>
  <si>
    <t>Deforceville</t>
  </si>
  <si>
    <t>Mélanie</t>
  </si>
  <si>
    <t>Inf Cadre Néonat</t>
  </si>
  <si>
    <t>Fusion CHU / CGO. En pleine restructuation des services, fait le point fin d'année pour ses besoins poch. Envoyer livret deuil</t>
  </si>
  <si>
    <t>Avenue Laennec Salouel</t>
  </si>
  <si>
    <t>Ne repond pas.</t>
  </si>
  <si>
    <t>Toujours pas de réponse, envoyé mail pour rdv telephonique.</t>
  </si>
  <si>
    <t>CH Argenteuil</t>
  </si>
  <si>
    <t>CH Victor Dupouy</t>
  </si>
  <si>
    <t>69 rue du Lt Colonel Prud'hon</t>
  </si>
  <si>
    <t>Tessier</t>
  </si>
  <si>
    <t>Marie</t>
  </si>
  <si>
    <t>Cadre neonat</t>
  </si>
  <si>
    <t>Juge</t>
  </si>
  <si>
    <t>Catherine</t>
  </si>
  <si>
    <t>Cadre réa néonat</t>
  </si>
  <si>
    <t>Eu Mme Juge. On continue comme ca pour les pochettes. Envoyer 3 ex livret deuil.</t>
  </si>
  <si>
    <t>CHIC cote basque-Bayonne</t>
  </si>
  <si>
    <t>13 av Jacques Loeb BP 8</t>
  </si>
  <si>
    <t>05 59 44 38 83</t>
  </si>
  <si>
    <t>Souviraa</t>
  </si>
  <si>
    <t>fabienne</t>
  </si>
  <si>
    <t>cadre ped et neonat</t>
  </si>
  <si>
    <t>05 59 44 38 86</t>
  </si>
  <si>
    <t>fsouviraa@ch-cotebasque.fr</t>
  </si>
  <si>
    <t>CH de Beauvais</t>
  </si>
  <si>
    <t>40 av Léon Blum BP 319</t>
  </si>
  <si>
    <t xml:space="preserve">Bonan </t>
  </si>
  <si>
    <t>Armelle</t>
  </si>
  <si>
    <t>a.bonan@ch-beauvais.fr</t>
  </si>
  <si>
    <t>Eu au tel, ok pochettes. Envoyer livret deuil pour test, confirmer par mail l'envoi car elle veut mes coord.</t>
  </si>
  <si>
    <t>Hopital Jean Verdier</t>
  </si>
  <si>
    <t>avenue du 14 juillet</t>
  </si>
  <si>
    <t>Heidet</t>
  </si>
  <si>
    <t>Camille</t>
  </si>
  <si>
    <t>camille.heidet@jvr.aphp.fr</t>
  </si>
  <si>
    <t>Eu au tel. 10 livrets deuil à envoyer, n'en a plus. Renvoyer le mail JDS. Ok pour continuer comme ca pour poch.</t>
  </si>
  <si>
    <t>CH de Blois</t>
  </si>
  <si>
    <t>mail Pierre Charlot</t>
  </si>
  <si>
    <t>02 54 55 66 33</t>
  </si>
  <si>
    <t>CARTRON</t>
  </si>
  <si>
    <t>Marie Noelle</t>
  </si>
  <si>
    <t>cadre neonat</t>
  </si>
  <si>
    <t>cartromn@ch-blois.fr</t>
  </si>
  <si>
    <t>Eu Mme Cartron : stop poch sur 2015 (bcp de stock de 2014) Souhaites 5 livrets deuil. Ravie de SOS Préma a eu 1 fauteuil allaitement &gt; soignants et parents ravis</t>
  </si>
  <si>
    <t>2b</t>
  </si>
  <si>
    <t>Bayonne</t>
  </si>
  <si>
    <t>Boulogne sur Mer</t>
  </si>
  <si>
    <t>CH Boulogne</t>
  </si>
  <si>
    <t>Rue Jacques Monod BP 609 B</t>
  </si>
  <si>
    <t>Leblond</t>
  </si>
  <si>
    <t>Cédric</t>
  </si>
  <si>
    <t>03 21 99 33 33</t>
  </si>
  <si>
    <t>cadre_neonat@ch-boulogne.fr</t>
  </si>
  <si>
    <t>Eu M. Leblond : stop envoi pochette sur 2015 (trop de stock) le re contacter fin 2015 pour faire le point pour 2016. Voudrait Mail JDS Nice pour avoir lieu exact de la formation irai avec une puer partira avant la fin du 2eme jour car pas avion après, déçu de louper la partie sur le handicap. Veut 2 livrets deuil pour voir.</t>
  </si>
  <si>
    <t>CHI de Créteil</t>
  </si>
  <si>
    <t>40 avenue de verdun</t>
  </si>
  <si>
    <t>216 neo 400 rea</t>
  </si>
  <si>
    <t>Peluchon</t>
  </si>
  <si>
    <t>Anne</t>
  </si>
  <si>
    <t>anne.peluchon@chicreteil.fr</t>
  </si>
  <si>
    <t xml:space="preserve">Degaine </t>
  </si>
  <si>
    <t>Massoulle</t>
  </si>
  <si>
    <t>Magali</t>
  </si>
  <si>
    <t>Cadre réa</t>
  </si>
  <si>
    <t>magali.massoulle@chicreteil.fr</t>
  </si>
  <si>
    <t>Voir avec nathalie salou pour rdv cadre pour doc asso. LA réa ne recoit pas de pchettes mais en veut : 400 / an. Renvoyer mail jds. Envoi mail conf envoi pochette car veut mes coord.</t>
  </si>
  <si>
    <t>GHPSO de Creil</t>
  </si>
  <si>
    <t>boulevard Laennec BP 72</t>
  </si>
  <si>
    <t>Benoit Sergent</t>
  </si>
  <si>
    <t>Sophie</t>
  </si>
  <si>
    <t>sophie.benoit@ghpso.fr</t>
  </si>
  <si>
    <t>Envoyer 10 livrets deuil et faire sauter une livraison de pochettes, trop de stock. Renvoyer mail JDS</t>
  </si>
  <si>
    <t>CH Sud Francilien site Louise Michel</t>
  </si>
  <si>
    <t>CH Sud Francilien, site louise michel</t>
  </si>
  <si>
    <t>116 bd jean jaures</t>
  </si>
  <si>
    <t>Galand</t>
  </si>
  <si>
    <t>Nathalie</t>
  </si>
  <si>
    <t>nathalie.galand@ch-sud-francilien.fr</t>
  </si>
  <si>
    <t>Coutarel</t>
  </si>
  <si>
    <t xml:space="preserve">Gousseau </t>
  </si>
  <si>
    <t>Inf ref poch</t>
  </si>
  <si>
    <t>Mme Galand a l'ecole des cadres. Mme Coutarel la remplace. Ok pour pochettes. Ref pochettes : Melanie Gousseau</t>
  </si>
  <si>
    <t>CH Chambéry</t>
  </si>
  <si>
    <t>7 square massalaz BP 1125</t>
  </si>
  <si>
    <t>Mercier</t>
  </si>
  <si>
    <t>Aurelie</t>
  </si>
  <si>
    <t>aurelie.mercier@ch-chambery.fr</t>
  </si>
  <si>
    <t>Eu Mme Mercier. Ok Poch. Pas de livrets deuil car gpe de travail en cours de real.</t>
  </si>
  <si>
    <t>CH Calais</t>
  </si>
  <si>
    <t>101 Boulevard des justes</t>
  </si>
  <si>
    <t>Bodart</t>
  </si>
  <si>
    <t xml:space="preserve">Cadre </t>
  </si>
  <si>
    <t>cs.neonat@ch-calais.fr</t>
  </si>
  <si>
    <t>Réduire à 32 poch/ mois.</t>
  </si>
  <si>
    <t>Eu Mme Souviraa. Ok pour les Guides. Envoyer 10 livrets deuil.</t>
  </si>
  <si>
    <t>Clermont Ferrand</t>
  </si>
  <si>
    <t>CHU Clermont Ferrand</t>
  </si>
  <si>
    <t>1 place lucie Aubrac</t>
  </si>
  <si>
    <t>Fourgeaud</t>
  </si>
  <si>
    <t>Sylvie</t>
  </si>
  <si>
    <t>sfourgeaud@chu-clermontferrand.fr</t>
  </si>
  <si>
    <t>Clauson</t>
  </si>
  <si>
    <t>Sandra</t>
  </si>
  <si>
    <t>sclauzon@chu-clermontferrand.fr</t>
  </si>
  <si>
    <t>Pr Labbé</t>
  </si>
  <si>
    <t>cadre rea</t>
  </si>
  <si>
    <t>chef service ped</t>
  </si>
  <si>
    <t>Pr Vanliferingen</t>
  </si>
  <si>
    <t>chef service rea</t>
  </si>
  <si>
    <t>Ne veulent ni pochettes, ni guides, ni livrets deuil. Car ce sont des gros nazes !</t>
  </si>
  <si>
    <t>CH de Cholet</t>
  </si>
  <si>
    <t>1 rue de Marengo</t>
  </si>
  <si>
    <t>Thiebaux</t>
  </si>
  <si>
    <t>Séverine</t>
  </si>
  <si>
    <t>Poste 6906</t>
  </si>
  <si>
    <t>severine.thiebaux@ch-cholet.fr</t>
  </si>
  <si>
    <t>Lebrun</t>
  </si>
  <si>
    <t>Lisa</t>
  </si>
  <si>
    <t>Inf ref SOS Prema</t>
  </si>
  <si>
    <t>prematurespcinfirmier@ch-cholet.fr</t>
  </si>
  <si>
    <t>Reduit à 144 poch sur l'année 2015, 2 pers inscrites JDS</t>
  </si>
  <si>
    <t>Dijon</t>
  </si>
  <si>
    <t>Clinique Sainte Marthe</t>
  </si>
  <si>
    <t>56 rue de la préffecture</t>
  </si>
  <si>
    <t>Lacroix</t>
  </si>
  <si>
    <t>Florence</t>
  </si>
  <si>
    <t>Resp neonat</t>
  </si>
  <si>
    <t>f.lacroix@gsante.fr</t>
  </si>
  <si>
    <t>Ok pochettes, relancer fin d'année pour valider quantités.</t>
  </si>
  <si>
    <t>CH d'Eaubonne</t>
  </si>
  <si>
    <t>CH Simone Veil</t>
  </si>
  <si>
    <t>14 rue de Saint Prix</t>
  </si>
  <si>
    <t>Staub</t>
  </si>
  <si>
    <t>sylvie.staub@ch-simoneveil.fr</t>
  </si>
  <si>
    <t>Eu la cadre. On peut remonter à 300 pochettes pour 2015, demenagement fini, je transmet à gisèle.</t>
  </si>
  <si>
    <t>Fontainebleau</t>
  </si>
  <si>
    <t>CH de Fontainebleau</t>
  </si>
  <si>
    <t>55 bd du Marechal Joffre</t>
  </si>
  <si>
    <t>Pons Thomas</t>
  </si>
  <si>
    <t>Marie Catherine</t>
  </si>
  <si>
    <t>pons-thomas@ch-fontainebleau.fr</t>
  </si>
  <si>
    <t>On arrete les pochettes sur 2015, on repart sur 2016 avec 100 poch/an</t>
  </si>
  <si>
    <t>Bouvard</t>
  </si>
  <si>
    <t>Monique</t>
  </si>
  <si>
    <t>En reunion, rappeler demain</t>
  </si>
  <si>
    <t>Dalloiseau</t>
  </si>
  <si>
    <t>CHU Grenoble</t>
  </si>
  <si>
    <t>CHU de Grenoble</t>
  </si>
  <si>
    <t>Bd de la Chantourne</t>
  </si>
  <si>
    <t>CH d'Hagueneau</t>
  </si>
  <si>
    <t>64 av du professeur Lariche - BP 252</t>
  </si>
  <si>
    <t xml:space="preserve">Hoff </t>
  </si>
  <si>
    <t>Danièle</t>
  </si>
  <si>
    <t>danielle.hoff@ch-hagueneau.fr</t>
  </si>
  <si>
    <t>Krill</t>
  </si>
  <si>
    <t>Patricia</t>
  </si>
  <si>
    <t>Ok pour 300 poch / an, les donnent en systématique.</t>
  </si>
  <si>
    <t>Jossigny - Marne la Vallée</t>
  </si>
  <si>
    <t>CH de Marne la Vallée</t>
  </si>
  <si>
    <t>2-4 cours de la gondoire</t>
  </si>
  <si>
    <t>Barron</t>
  </si>
  <si>
    <t>Aline</t>
  </si>
  <si>
    <t>abarron@ch-lagny77.fr</t>
  </si>
  <si>
    <t>Eu Mme Barron, ils augmentent la capacité SI. Envoyer 500 sur l'année. Je transmets à Gisele</t>
  </si>
  <si>
    <t>La Roche sur Yon</t>
  </si>
  <si>
    <t>CH de Vendée</t>
  </si>
  <si>
    <t>Les Oudairies - rue du Mal Koening</t>
  </si>
  <si>
    <t>Chaillot</t>
  </si>
  <si>
    <t>Stéphanie</t>
  </si>
  <si>
    <t>Poste 22170</t>
  </si>
  <si>
    <t>stephanie.chaillot@chd-vendée.fr</t>
  </si>
  <si>
    <t>Toujours pas de pochettes, toujours pour IHAB</t>
  </si>
  <si>
    <t>Le Blanc Mesnil</t>
  </si>
  <si>
    <t>Hopital Privé de Seine Saint Denis</t>
  </si>
  <si>
    <t>7 av. Henri Barbusse</t>
  </si>
  <si>
    <t>Ducrocq</t>
  </si>
  <si>
    <t>Angélique</t>
  </si>
  <si>
    <t>Cadre surveillante</t>
  </si>
  <si>
    <t>a.ducrocq@gsante.fr</t>
  </si>
  <si>
    <t>Tjrs ok pochettes. On continue</t>
  </si>
  <si>
    <t>Le Havre</t>
  </si>
  <si>
    <t>GH du Havre</t>
  </si>
  <si>
    <t>29 avenue Pierre Mendes France</t>
  </si>
  <si>
    <t>Hody</t>
  </si>
  <si>
    <t>Fanny</t>
  </si>
  <si>
    <t>fanny.hody@ch-havre.fr</t>
  </si>
  <si>
    <t>Cristina</t>
  </si>
  <si>
    <t>Cadre Réa et SI</t>
  </si>
  <si>
    <t>cristina.da-silva@ch-havre.fr</t>
  </si>
  <si>
    <t>Eu madame Cheron, ne connais pas la pochette SOS Préma, on commence avec 5 cartons et on se rappelle. Envoyer 10 livrets deuils. 5 pers dont madame cheron à la JDS</t>
  </si>
  <si>
    <t>Le Kremlin Bicetre</t>
  </si>
  <si>
    <t>CH de Bicetre</t>
  </si>
  <si>
    <t>78 ru du général Leclerc</t>
  </si>
  <si>
    <t>marie-elisabeth.almira@bct.aphp.fr</t>
  </si>
  <si>
    <t>Metivet</t>
  </si>
  <si>
    <t>Le Mans</t>
  </si>
  <si>
    <t>CH du Mans</t>
  </si>
  <si>
    <t>194 avenue du Rubillard</t>
  </si>
  <si>
    <t>Plumail</t>
  </si>
  <si>
    <t>Jean Francois</t>
  </si>
  <si>
    <t>jfplumail@ch-lemans.fr</t>
  </si>
  <si>
    <t>Eu M Plumail, il est ok pour continuer 160 poch/an.</t>
  </si>
  <si>
    <t>Le Mans Tertre rouge</t>
  </si>
  <si>
    <t>Clinique du Tertre Rouge</t>
  </si>
  <si>
    <t>62 rue de Guetteloup</t>
  </si>
  <si>
    <t>refneonat@tertrerouge.fr</t>
  </si>
  <si>
    <t>Lens</t>
  </si>
  <si>
    <t>CH de Lens</t>
  </si>
  <si>
    <t>Segers</t>
  </si>
  <si>
    <t>Claudette</t>
  </si>
  <si>
    <t>csegers@ch-lens.fr</t>
  </si>
  <si>
    <t>Fieffe</t>
  </si>
  <si>
    <t>Corinne</t>
  </si>
  <si>
    <t>Libourne</t>
  </si>
  <si>
    <t>CH Robert Boulin</t>
  </si>
  <si>
    <t>112 rue de la Marne</t>
  </si>
  <si>
    <t>Cazanave Hourquet</t>
  </si>
  <si>
    <t xml:space="preserve">Eu la cadre. Ok pour continuer les guides. Reveut bien quelques livrets deuil. Bossent sur un livret deuil en interne pour la pediatrie. </t>
  </si>
  <si>
    <t>99 route de la bassée</t>
  </si>
  <si>
    <t>cfieffe@ch-lens.fr</t>
  </si>
  <si>
    <t>Eu Mme Fieffe. Tres contente de la pochette. Continuer comme ca sur 2015/16</t>
  </si>
  <si>
    <t>Lille Saint Vincent</t>
  </si>
  <si>
    <t>ES St Vincent St Antoine Neonatologie</t>
  </si>
  <si>
    <t>Camus</t>
  </si>
  <si>
    <t>Bd de Belfort BP387</t>
  </si>
  <si>
    <t>Smagghe</t>
  </si>
  <si>
    <t>Laurence</t>
  </si>
  <si>
    <t>Labélisé IHAB, réduire les quantités à 0 sur 2015. Rappeler début 2016 pour voir si besoin de quelques pochettes car continue d'en donner aux mamans qui en font la demande.</t>
  </si>
  <si>
    <t>Mme Camus en poste depuis 3 ans… Envoyer un livret et un livret deuil pour qu'elle le regarde. Fait le point avec ses equipes car ne voit pas les guides donnés aux parents.</t>
  </si>
  <si>
    <t>Cadre sup</t>
  </si>
  <si>
    <t>Cheron</t>
  </si>
  <si>
    <t>Favard</t>
  </si>
  <si>
    <t>cadre sup</t>
  </si>
  <si>
    <t>bfavard@chu-clermontferrand.fr</t>
  </si>
  <si>
    <t>Saint Brieuc</t>
  </si>
  <si>
    <t>CH de Saint Brieuc</t>
  </si>
  <si>
    <t>10 rue Marcel Proust BP2367</t>
  </si>
  <si>
    <t>Plaquettes</t>
  </si>
  <si>
    <t>1 paquet</t>
  </si>
  <si>
    <t>Bezely</t>
  </si>
  <si>
    <t>magali.bezely@ch-stbrieuc.fr</t>
  </si>
  <si>
    <t>Toujours pas de pochettes, 1 paquet de pochettes, 5 livrets deuil et parents envoyés</t>
  </si>
  <si>
    <t>Voiron</t>
  </si>
  <si>
    <t>CH de Voiron</t>
  </si>
  <si>
    <t>14 route des gorges BP208</t>
  </si>
  <si>
    <t>Henniqueau</t>
  </si>
  <si>
    <t>Mme</t>
  </si>
  <si>
    <t>cadre</t>
  </si>
  <si>
    <t>pediatrie.delastre-roussel@ch-voiron.fr</t>
  </si>
  <si>
    <t>Ok Pochettes, tout va bien, eu cadre sup, cadre en vac</t>
  </si>
  <si>
    <t>Vannes</t>
  </si>
  <si>
    <t>CHBA Bretagne Atlantique</t>
  </si>
  <si>
    <t>20 bd Guillaudot BP70555</t>
  </si>
  <si>
    <t>Perrigaud</t>
  </si>
  <si>
    <t>Anne Laure</t>
  </si>
  <si>
    <t>Cadre Neonat</t>
  </si>
  <si>
    <t>anne-laure.perrigaud@ch-bretagne-atlantique.fr</t>
  </si>
  <si>
    <t>Arreter les pochettes !!! Déjà demandé, pas fait. Envoi d'un carton de guides.</t>
  </si>
  <si>
    <t>Valenciennes</t>
  </si>
  <si>
    <t>CH de Valencienne</t>
  </si>
  <si>
    <t>rue de Monaco BP479</t>
  </si>
  <si>
    <t>Rémy</t>
  </si>
  <si>
    <t>Alexandrine</t>
  </si>
  <si>
    <t>remy-a@ch-valenciennes.fr</t>
  </si>
  <si>
    <t>Souhaite vraiment un CL, ok pour continuer guides</t>
  </si>
  <si>
    <t>Tours</t>
  </si>
  <si>
    <t>CHRU de Clocheville - Tours</t>
  </si>
  <si>
    <t>49 bd Béranger</t>
  </si>
  <si>
    <t xml:space="preserve">Marine </t>
  </si>
  <si>
    <t>Cadre Réa</t>
  </si>
  <si>
    <t>l.marin@chu-tours.fr</t>
  </si>
  <si>
    <t>Bourgoin</t>
  </si>
  <si>
    <t>Isabelle</t>
  </si>
  <si>
    <t>i.bourgoin@chu-tours.fr</t>
  </si>
  <si>
    <t>Chauvin</t>
  </si>
  <si>
    <t>Cadre Ped</t>
  </si>
  <si>
    <t>p.chauvin@chu-tours.fr</t>
  </si>
  <si>
    <t>Ok pochettes</t>
  </si>
  <si>
    <t>Toulouse</t>
  </si>
  <si>
    <t>CHR Hopital des enfants PURPAN</t>
  </si>
  <si>
    <t>330 av de Grande Bretagne TSA 70037</t>
  </si>
  <si>
    <t xml:space="preserve">Blasy </t>
  </si>
  <si>
    <t>Christelle</t>
  </si>
  <si>
    <t>blasy.c@chu-toulouse.fr</t>
  </si>
  <si>
    <t>Un peu juste en qté pochettes, refaire le point fin d'année savoir si ca s'est reproduit.</t>
  </si>
  <si>
    <t>Thionville Metz</t>
  </si>
  <si>
    <t>CHR de Metz Thionville - Hopital Bel Air</t>
  </si>
  <si>
    <t>2 rue Friscaty BP60237</t>
  </si>
  <si>
    <t>Mouyeaux</t>
  </si>
  <si>
    <t>Lydia</t>
  </si>
  <si>
    <t>Surveillant gle</t>
  </si>
  <si>
    <t>l.mouyeaux@chr-metz-thionville.fr</t>
  </si>
  <si>
    <t>Ok pochettes.</t>
  </si>
  <si>
    <t>Strasbourg</t>
  </si>
  <si>
    <t>CHU Strasbourg - Hopital Hauutepierre</t>
  </si>
  <si>
    <t>1 av moliere</t>
  </si>
  <si>
    <t>Cayeux</t>
  </si>
  <si>
    <t>Céline</t>
  </si>
  <si>
    <t>celine.cayeux@chu-strasbourg.fr</t>
  </si>
  <si>
    <t>Arella</t>
  </si>
  <si>
    <t>Yolaine</t>
  </si>
  <si>
    <t>yolaine.arella@chu-strasbourg.fr</t>
  </si>
  <si>
    <t>Envoie un livret deuil, ok pochettes</t>
  </si>
  <si>
    <t>Surennes</t>
  </si>
  <si>
    <t>Hopital Foch</t>
  </si>
  <si>
    <t>40 rue Worth BP36</t>
  </si>
  <si>
    <t>Ouahidi</t>
  </si>
  <si>
    <t>Kaoutar</t>
  </si>
  <si>
    <t>k.ouahidi@hopital-foch.com</t>
  </si>
  <si>
    <t>Rapp en septembre pour faire point pochettes. Besoins de tissus pour cache couveuses et draps, fait elle-même la couture.</t>
  </si>
  <si>
    <t>Saint Nazaire</t>
  </si>
  <si>
    <t>CH Saint Nazaire - Le Moulin du Pré</t>
  </si>
  <si>
    <t>11 Bd Georges Charpak BP414</t>
  </si>
  <si>
    <t>Bufarull</t>
  </si>
  <si>
    <t>Joelle</t>
  </si>
  <si>
    <t>j.bufarull@ch-saintnazaire.fr</t>
  </si>
  <si>
    <t>Ok Guides, confirmation par mail d'envoi en juin.</t>
  </si>
  <si>
    <t>Saintes</t>
  </si>
  <si>
    <t>CH de Saintonge</t>
  </si>
  <si>
    <t>11 bd Ambroise Paré BP326</t>
  </si>
  <si>
    <t>Mahaud</t>
  </si>
  <si>
    <t>m.mahaud@ch-saintonge.fr</t>
  </si>
  <si>
    <t>Tout va bien, pochettes ok</t>
  </si>
  <si>
    <t>CHU Saint Etienne - St Priez en Jarez</t>
  </si>
  <si>
    <t>CHU Nord</t>
  </si>
  <si>
    <t>Avenue Albert Raimond</t>
  </si>
  <si>
    <t>Raffin</t>
  </si>
  <si>
    <t>nathalie.raffin@chu-st-etienne.fr</t>
  </si>
  <si>
    <t>Reduron</t>
  </si>
  <si>
    <t>Christine</t>
  </si>
  <si>
    <t>Cadre SI</t>
  </si>
  <si>
    <t>christine.reduron@chu-st-etienne.fr</t>
  </si>
  <si>
    <t xml:space="preserve">Muntiel </t>
  </si>
  <si>
    <t>Solange</t>
  </si>
  <si>
    <t>solange.muntiel@chu-st-etienne.fr</t>
  </si>
  <si>
    <t>Cadre souhaite prez pochettes, vu avec MC qu'elle transmette a Celine et Pierre. Répartition 150 Néonat et 100 Réa des guides</t>
  </si>
  <si>
    <t>Monaco</t>
  </si>
  <si>
    <t>CH Princesse Grace</t>
  </si>
  <si>
    <t>Berlioz</t>
  </si>
  <si>
    <t>Michèle</t>
  </si>
  <si>
    <t>Chef serv ped</t>
  </si>
  <si>
    <t>michele.berlioz@chpg.mc</t>
  </si>
  <si>
    <t>Deroussen</t>
  </si>
  <si>
    <t>Cadre de santé</t>
  </si>
  <si>
    <t>sophie.deroussen@chpg.mc</t>
  </si>
  <si>
    <t>Carbone</t>
  </si>
  <si>
    <t>Bruno</t>
  </si>
  <si>
    <t>Chef serv mater</t>
  </si>
  <si>
    <t>bruno.carbone@chpg.mc</t>
  </si>
  <si>
    <t>Accossato</t>
  </si>
  <si>
    <t>Valérie</t>
  </si>
  <si>
    <t>valerie.accossato@chpg.mc</t>
  </si>
  <si>
    <t>Mail de Audrey pour création fiche suite contact green. A suivre rdv pres asso par Audrey.</t>
  </si>
  <si>
    <t>Hopital</t>
  </si>
  <si>
    <t>Nb de Lits</t>
  </si>
  <si>
    <t>Admissions / an</t>
  </si>
  <si>
    <t>Guides parents</t>
  </si>
  <si>
    <t>Livrets Deuil</t>
  </si>
  <si>
    <t>Total</t>
  </si>
  <si>
    <t>Telephone direct</t>
  </si>
  <si>
    <t>Dotation annuelle</t>
  </si>
  <si>
    <t>Guides Parents</t>
  </si>
  <si>
    <t>Consommés</t>
  </si>
  <si>
    <t>Restants</t>
  </si>
  <si>
    <t>Simple</t>
  </si>
  <si>
    <t>Moyenne Numéraire</t>
  </si>
  <si>
    <t>Moyenne %</t>
  </si>
  <si>
    <t>Poste</t>
  </si>
  <si>
    <t>Téléphone</t>
  </si>
  <si>
    <t>blablabka@chu.fr</t>
  </si>
  <si>
    <t>CP</t>
  </si>
  <si>
    <t>Ville</t>
  </si>
  <si>
    <t>ETABLISSEMENT</t>
  </si>
  <si>
    <t>VILLE</t>
  </si>
  <si>
    <t>NIVEAU</t>
  </si>
  <si>
    <t>POCHETTES</t>
  </si>
  <si>
    <t>GUIDES</t>
  </si>
  <si>
    <t>IHAB</t>
  </si>
  <si>
    <t xml:space="preserve"> Amiens Cedex 01</t>
  </si>
  <si>
    <t>Agen Cedex 9</t>
  </si>
  <si>
    <t>Angers</t>
  </si>
  <si>
    <t>Arras</t>
  </si>
  <si>
    <t>Auxerre</t>
  </si>
  <si>
    <t>Avignon</t>
  </si>
  <si>
    <t>41016</t>
  </si>
  <si>
    <t>Blois Cedex</t>
  </si>
  <si>
    <t>50303</t>
  </si>
  <si>
    <t>Aranches Cedex</t>
  </si>
  <si>
    <t>73011</t>
  </si>
  <si>
    <t>Chambery Cedex</t>
  </si>
  <si>
    <t>91100</t>
  </si>
  <si>
    <t>Corbeil Essonne</t>
  </si>
  <si>
    <t>60109</t>
  </si>
  <si>
    <t>Creil Cedex</t>
  </si>
  <si>
    <t>94010</t>
  </si>
  <si>
    <t>Créteil</t>
  </si>
  <si>
    <t>95107</t>
  </si>
  <si>
    <t>Argenteuil Cedex</t>
  </si>
  <si>
    <t>64109</t>
  </si>
  <si>
    <t>Bayonne Cedex</t>
  </si>
  <si>
    <t>60021</t>
  </si>
  <si>
    <t>Beauvais Cedex</t>
  </si>
  <si>
    <t>93143</t>
  </si>
  <si>
    <t>Bondy Cedex</t>
  </si>
  <si>
    <t>62321</t>
  </si>
  <si>
    <t>Boulogne sur mer Cedex</t>
  </si>
  <si>
    <t>94360</t>
  </si>
  <si>
    <t>Bry-sur-Marne</t>
  </si>
  <si>
    <t>62107</t>
  </si>
  <si>
    <t>Calais Cedex</t>
  </si>
  <si>
    <t>63003</t>
  </si>
  <si>
    <t>Clermont Fd Cedex</t>
  </si>
  <si>
    <t>49325</t>
  </si>
  <si>
    <t>Cholet Cedex</t>
  </si>
  <si>
    <t>21000</t>
  </si>
  <si>
    <t>95600</t>
  </si>
  <si>
    <t>Eaubonne</t>
  </si>
  <si>
    <t>77300</t>
  </si>
  <si>
    <t>38700</t>
  </si>
  <si>
    <t>La Tronche</t>
  </si>
  <si>
    <t>67504</t>
  </si>
  <si>
    <t>Hagueneau Cedex</t>
  </si>
  <si>
    <t>77600</t>
  </si>
  <si>
    <t>JOSSINY</t>
  </si>
  <si>
    <t>85000</t>
  </si>
  <si>
    <t>93156</t>
  </si>
  <si>
    <t>Le Blanc Mesnil Cedex</t>
  </si>
  <si>
    <t>76290</t>
  </si>
  <si>
    <t>Montivilliers</t>
  </si>
  <si>
    <t>94270</t>
  </si>
  <si>
    <t>72037</t>
  </si>
  <si>
    <t>Le Mans Cedex</t>
  </si>
  <si>
    <t>72058</t>
  </si>
  <si>
    <t>Le Mans Cedex 02</t>
  </si>
  <si>
    <t>62307</t>
  </si>
  <si>
    <t>Lens Cedex</t>
  </si>
  <si>
    <t>33500</t>
  </si>
  <si>
    <t>59024</t>
  </si>
  <si>
    <t>Lille Cedex</t>
  </si>
  <si>
    <t>Monac</t>
  </si>
  <si>
    <t/>
  </si>
  <si>
    <t>22023</t>
  </si>
  <si>
    <t>Saint Brieuc Cedex</t>
  </si>
  <si>
    <t>42244</t>
  </si>
  <si>
    <t>St Priez en Jarez</t>
  </si>
  <si>
    <t>44606</t>
  </si>
  <si>
    <t>Saint Nazaire Cedex</t>
  </si>
  <si>
    <t>17108</t>
  </si>
  <si>
    <t>92151</t>
  </si>
  <si>
    <t>Surennes Cedex</t>
  </si>
  <si>
    <t>67098</t>
  </si>
  <si>
    <t>Strasbourg Cedex 2</t>
  </si>
  <si>
    <t>57126</t>
  </si>
  <si>
    <t>Thionville Cedex</t>
  </si>
  <si>
    <t>31059</t>
  </si>
  <si>
    <t>Toulouse Cedex</t>
  </si>
  <si>
    <t>37000</t>
  </si>
  <si>
    <t>59322</t>
  </si>
  <si>
    <t>Valenciennes Cedex</t>
  </si>
  <si>
    <t>56017</t>
  </si>
  <si>
    <t>Vannes Cedex</t>
  </si>
  <si>
    <t>38506</t>
  </si>
  <si>
    <t>Voiron Cedex</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</si>
</sst>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8" formatCode="#,##0.00\ &quot;€&quot;;[Red]\-#,##0.00\ &quot;€&quot;"/>
    <numFmt numFmtId="164" formatCode="0#&quot; &quot;##&quot; &quot;##&quot; &quot;##&quot; &quot;##"/>
  </numFmts>
  <fonts count="7" x14ac:knownFonts="1">
    <font>
      <sz val="11"/>
      <color theme="1"/>
      <name val="Calibri"/>
      <family val="2"/>
      <scheme val="minor"/>
    </font>
    <font>
      <u/>
      <sz val="11"/>
      <color theme="10"/>
      <name val="Calibri"/>
      <family val="2"/>
      <scheme val="minor"/>
    </font>
    <font>
      <sz val="22"/>
      <color theme="1"/>
      <name val="Calibri"/>
      <family val="2"/>
      <scheme val="minor"/>
    </font>
    <font>
      <sz val="10"/>
      <color theme="1"/>
      <name val="Calibri"/>
      <family val="2"/>
      <scheme val="minor"/>
    </font>
    <font>
      <sz val="11"/>
      <color theme="0" tint="-0.14999847407452621"/>
      <name val="Calibri"/>
      <family val="2"/>
      <scheme val="minor"/>
    </font>
    <font>
      <sz val="11"/>
      <color rgb="FF000000"/>
      <name val="Calibri"/>
      <family val="2"/>
    </font>
    <font>
      <b/>
      <sz val="11"/>
      <color rgb="FF000000"/>
      <name val="Calibri"/>
      <family val="2"/>
    </font>
  </fonts>
  <fills count="5">
    <fill>
      <patternFill patternType="none"/>
    </fill>
    <fill>
      <patternFill patternType="gray125"/>
    </fill>
    <fill>
      <patternFill patternType="solid">
        <fgColor theme="2"/>
        <bgColor indexed="64"/>
      </patternFill>
    </fill>
    <fill>
      <patternFill patternType="solid">
        <fgColor theme="0" tint="-0.14999847407452621"/>
        <bgColor indexed="64"/>
      </patternFill>
    </fill>
    <fill>
      <patternFill patternType="solid">
        <fgColor theme="0" tint="-4.9989318521683403E-2"/>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top/>
      <bottom style="medium">
        <color indexed="64"/>
      </bottom>
      <diagonal/>
    </border>
    <border>
      <left/>
      <right style="medium">
        <color indexed="64"/>
      </right>
      <top style="thin">
        <color indexed="64"/>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bottom/>
      <diagonal/>
    </border>
  </borders>
  <cellStyleXfs count="3">
    <xf numFmtId="0" fontId="0" fillId="0" borderId="0"/>
    <xf numFmtId="0" fontId="1" fillId="0" borderId="0" applyNumberFormat="0" applyFill="0" applyBorder="0" applyAlignment="0" applyProtection="0"/>
    <xf numFmtId="0" fontId="5" fillId="0" borderId="0"/>
  </cellStyleXfs>
  <cellXfs count="168">
    <xf numFmtId="0" fontId="0" fillId="0" borderId="0" xfId="0"/>
    <xf numFmtId="0" fontId="0" fillId="0" borderId="0" xfId="0" applyAlignment="1">
      <alignment vertical="center"/>
    </xf>
    <xf numFmtId="0" fontId="0" fillId="2" borderId="5" xfId="0" applyFill="1" applyBorder="1" applyAlignment="1">
      <alignment vertical="center"/>
    </xf>
    <xf numFmtId="0" fontId="0" fillId="2" borderId="8" xfId="0" applyFill="1" applyBorder="1" applyAlignment="1">
      <alignment vertical="center"/>
    </xf>
    <xf numFmtId="0" fontId="0" fillId="2" borderId="10" xfId="0" applyFill="1" applyBorder="1" applyAlignment="1">
      <alignment vertical="center"/>
    </xf>
    <xf numFmtId="0" fontId="0" fillId="2" borderId="14" xfId="0" applyFill="1" applyBorder="1" applyAlignment="1">
      <alignment vertical="center"/>
    </xf>
    <xf numFmtId="0" fontId="0" fillId="0" borderId="0" xfId="0" applyAlignment="1">
      <alignment horizontal="left" vertical="center"/>
    </xf>
    <xf numFmtId="0" fontId="0" fillId="0" borderId="0" xfId="0" applyBorder="1" applyAlignment="1">
      <alignment vertical="center"/>
    </xf>
    <xf numFmtId="0" fontId="0" fillId="2" borderId="8" xfId="0" applyFill="1" applyBorder="1" applyAlignment="1">
      <alignment horizontal="center" vertical="center"/>
    </xf>
    <xf numFmtId="0" fontId="0" fillId="2" borderId="1" xfId="0" applyFill="1" applyBorder="1" applyAlignment="1">
      <alignment horizontal="center" vertical="center"/>
    </xf>
    <xf numFmtId="0" fontId="0" fillId="0" borderId="14" xfId="0" applyBorder="1" applyAlignment="1">
      <alignment horizontal="center" vertical="center"/>
    </xf>
    <xf numFmtId="0" fontId="0" fillId="0" borderId="10" xfId="0" applyBorder="1" applyAlignment="1">
      <alignment horizontal="center" vertical="center"/>
    </xf>
    <xf numFmtId="0" fontId="0" fillId="0" borderId="0" xfId="0" applyFill="1" applyBorder="1" applyAlignment="1">
      <alignment vertical="center"/>
    </xf>
    <xf numFmtId="0" fontId="0" fillId="0" borderId="14" xfId="0" applyBorder="1" applyAlignment="1">
      <alignment horizontal="center" vertical="center"/>
    </xf>
    <xf numFmtId="0" fontId="0" fillId="2" borderId="8" xfId="0" applyFill="1" applyBorder="1" applyAlignment="1">
      <alignment horizontal="center" vertical="center"/>
    </xf>
    <xf numFmtId="0" fontId="0" fillId="2" borderId="1" xfId="0" applyFill="1" applyBorder="1" applyAlignment="1">
      <alignment horizontal="center" vertical="center"/>
    </xf>
    <xf numFmtId="0" fontId="0" fillId="0" borderId="10" xfId="0" applyBorder="1" applyAlignment="1">
      <alignment horizontal="center" vertical="center"/>
    </xf>
    <xf numFmtId="0" fontId="0" fillId="0" borderId="14" xfId="0" applyBorder="1" applyAlignment="1">
      <alignment horizontal="center" vertical="center"/>
    </xf>
    <xf numFmtId="0" fontId="0" fillId="2" borderId="8" xfId="0" applyFill="1" applyBorder="1" applyAlignment="1">
      <alignment horizontal="center" vertical="center"/>
    </xf>
    <xf numFmtId="0" fontId="0" fillId="2" borderId="1" xfId="0" applyFill="1" applyBorder="1" applyAlignment="1">
      <alignment horizontal="center" vertical="center"/>
    </xf>
    <xf numFmtId="0" fontId="0" fillId="0" borderId="10" xfId="0" applyBorder="1" applyAlignment="1">
      <alignment horizontal="center" vertical="center"/>
    </xf>
    <xf numFmtId="0" fontId="0" fillId="2" borderId="8" xfId="0" applyFill="1" applyBorder="1" applyAlignment="1">
      <alignment horizontal="center" vertical="center"/>
    </xf>
    <xf numFmtId="0" fontId="0" fillId="2" borderId="1" xfId="0" applyFill="1" applyBorder="1" applyAlignment="1">
      <alignment horizontal="center" vertical="center"/>
    </xf>
    <xf numFmtId="0" fontId="0" fillId="0" borderId="14" xfId="0" applyBorder="1" applyAlignment="1">
      <alignment horizontal="center" vertical="center"/>
    </xf>
    <xf numFmtId="0" fontId="0" fillId="0" borderId="10" xfId="0" applyBorder="1" applyAlignment="1">
      <alignment horizontal="center" vertical="center"/>
    </xf>
    <xf numFmtId="0" fontId="0" fillId="2" borderId="8" xfId="0" applyFill="1" applyBorder="1" applyAlignment="1">
      <alignment horizontal="center" vertical="center"/>
    </xf>
    <xf numFmtId="0" fontId="0" fillId="2" borderId="1" xfId="0" applyFill="1" applyBorder="1" applyAlignment="1">
      <alignment horizontal="center" vertical="center"/>
    </xf>
    <xf numFmtId="0" fontId="0" fillId="0" borderId="14" xfId="0" applyBorder="1" applyAlignment="1">
      <alignment horizontal="center" vertical="center"/>
    </xf>
    <xf numFmtId="0" fontId="0" fillId="0" borderId="10" xfId="0" applyBorder="1" applyAlignment="1">
      <alignment horizontal="center" vertical="center"/>
    </xf>
    <xf numFmtId="0" fontId="0" fillId="2" borderId="8" xfId="0" applyFill="1" applyBorder="1" applyAlignment="1">
      <alignment horizontal="center" vertical="center"/>
    </xf>
    <xf numFmtId="0" fontId="0" fillId="2" borderId="1" xfId="0" applyFill="1" applyBorder="1" applyAlignment="1">
      <alignment horizontal="center" vertical="center"/>
    </xf>
    <xf numFmtId="0" fontId="0" fillId="0" borderId="14" xfId="0" applyBorder="1" applyAlignment="1">
      <alignment horizontal="center" vertical="center"/>
    </xf>
    <xf numFmtId="0" fontId="0" fillId="0" borderId="10" xfId="0" applyBorder="1" applyAlignment="1">
      <alignment horizontal="center" vertical="center"/>
    </xf>
    <xf numFmtId="0" fontId="0" fillId="2" borderId="8" xfId="0" applyFill="1" applyBorder="1" applyAlignment="1">
      <alignment horizontal="center" vertical="center"/>
    </xf>
    <xf numFmtId="0" fontId="0" fillId="2" borderId="1" xfId="0" applyFill="1" applyBorder="1" applyAlignment="1">
      <alignment horizontal="center" vertical="center"/>
    </xf>
    <xf numFmtId="0" fontId="0" fillId="0" borderId="14" xfId="0" applyBorder="1" applyAlignment="1">
      <alignment horizontal="center" vertical="center"/>
    </xf>
    <xf numFmtId="0" fontId="0" fillId="0" borderId="10" xfId="0" applyBorder="1" applyAlignment="1">
      <alignment horizontal="center" vertical="center"/>
    </xf>
    <xf numFmtId="0" fontId="0" fillId="2" borderId="8" xfId="0" applyFill="1" applyBorder="1" applyAlignment="1">
      <alignment horizontal="center" vertical="center"/>
    </xf>
    <xf numFmtId="0" fontId="0" fillId="2" borderId="1" xfId="0" applyFill="1" applyBorder="1" applyAlignment="1">
      <alignment horizontal="center" vertical="center"/>
    </xf>
    <xf numFmtId="0" fontId="0" fillId="0" borderId="14" xfId="0" applyBorder="1" applyAlignment="1">
      <alignment horizontal="center" vertical="center"/>
    </xf>
    <xf numFmtId="0" fontId="0" fillId="0" borderId="10" xfId="0" applyBorder="1" applyAlignment="1">
      <alignment horizontal="center" vertical="center"/>
    </xf>
    <xf numFmtId="0" fontId="0" fillId="2" borderId="8" xfId="0" applyFill="1" applyBorder="1" applyAlignment="1">
      <alignment horizontal="center" vertical="center"/>
    </xf>
    <xf numFmtId="0" fontId="0" fillId="2" borderId="1" xfId="0" applyFill="1" applyBorder="1" applyAlignment="1">
      <alignment horizontal="center" vertical="center"/>
    </xf>
    <xf numFmtId="0" fontId="0" fillId="0" borderId="14" xfId="0" applyBorder="1" applyAlignment="1">
      <alignment horizontal="center" vertical="center"/>
    </xf>
    <xf numFmtId="0" fontId="0" fillId="0" borderId="10" xfId="0" applyBorder="1" applyAlignment="1">
      <alignment horizontal="center" vertical="center"/>
    </xf>
    <xf numFmtId="0" fontId="0" fillId="0" borderId="1" xfId="0" applyBorder="1" applyAlignment="1">
      <alignment horizontal="center" vertical="center"/>
    </xf>
    <xf numFmtId="0" fontId="0" fillId="0" borderId="1" xfId="0" applyBorder="1" applyAlignment="1">
      <alignment horizontal="center" vertical="center"/>
    </xf>
    <xf numFmtId="0" fontId="0" fillId="0" borderId="1" xfId="0" applyBorder="1"/>
    <xf numFmtId="0" fontId="0" fillId="3" borderId="1" xfId="0" applyFill="1" applyBorder="1"/>
    <xf numFmtId="164" fontId="0" fillId="3" borderId="1" xfId="0" applyNumberFormat="1" applyFill="1" applyBorder="1"/>
    <xf numFmtId="164" fontId="0" fillId="0" borderId="1" xfId="0" applyNumberFormat="1" applyBorder="1"/>
    <xf numFmtId="164" fontId="0" fillId="0" borderId="0" xfId="0" applyNumberFormat="1"/>
    <xf numFmtId="0" fontId="0" fillId="3" borderId="1" xfId="0" applyFill="1" applyBorder="1" applyAlignment="1">
      <alignment vertical="center"/>
    </xf>
    <xf numFmtId="0" fontId="0" fillId="0" borderId="1" xfId="0" applyBorder="1" applyAlignment="1">
      <alignment vertical="center"/>
    </xf>
    <xf numFmtId="0" fontId="0" fillId="3" borderId="1" xfId="0" applyFill="1" applyBorder="1" applyAlignment="1">
      <alignment horizontal="center" vertical="center"/>
    </xf>
    <xf numFmtId="0" fontId="0" fillId="0" borderId="2" xfId="0" applyBorder="1" applyAlignment="1">
      <alignment horizontal="center" vertical="center"/>
    </xf>
    <xf numFmtId="0" fontId="0" fillId="3" borderId="2" xfId="0" applyFill="1" applyBorder="1" applyAlignment="1">
      <alignment vertical="center"/>
    </xf>
    <xf numFmtId="0" fontId="0" fillId="0" borderId="1" xfId="0" applyFill="1" applyBorder="1" applyAlignment="1">
      <alignment horizontal="center" vertical="center"/>
    </xf>
    <xf numFmtId="0" fontId="4" fillId="0" borderId="0" xfId="0" applyFont="1" applyFill="1" applyAlignment="1">
      <alignment vertical="center"/>
    </xf>
    <xf numFmtId="0" fontId="1" fillId="0" borderId="2" xfId="1" applyBorder="1" applyAlignment="1">
      <alignment vertical="center"/>
    </xf>
    <xf numFmtId="0" fontId="1" fillId="0" borderId="3" xfId="1" applyBorder="1" applyAlignment="1">
      <alignment vertical="center"/>
    </xf>
    <xf numFmtId="0" fontId="1" fillId="0" borderId="24" xfId="1" applyBorder="1" applyAlignment="1">
      <alignment vertical="center"/>
    </xf>
    <xf numFmtId="0" fontId="0" fillId="0" borderId="0" xfId="0" applyAlignment="1">
      <alignment horizontal="center" vertical="center"/>
    </xf>
    <xf numFmtId="0" fontId="4" fillId="0" borderId="0" xfId="0" applyFont="1" applyFill="1" applyAlignment="1">
      <alignment horizontal="center" vertical="center"/>
    </xf>
    <xf numFmtId="164" fontId="1" fillId="0" borderId="1" xfId="1" applyNumberFormat="1" applyBorder="1"/>
    <xf numFmtId="0" fontId="0" fillId="3" borderId="29" xfId="0" applyFill="1" applyBorder="1"/>
    <xf numFmtId="0" fontId="0" fillId="2" borderId="8" xfId="0" applyFill="1" applyBorder="1" applyAlignment="1">
      <alignment horizontal="center" vertical="center"/>
    </xf>
    <xf numFmtId="0" fontId="0" fillId="2" borderId="1" xfId="0" applyFill="1" applyBorder="1" applyAlignment="1">
      <alignment horizontal="center" vertical="center"/>
    </xf>
    <xf numFmtId="0" fontId="0" fillId="0" borderId="14" xfId="0" applyBorder="1" applyAlignment="1">
      <alignment horizontal="center" vertical="center"/>
    </xf>
    <xf numFmtId="0" fontId="0" fillId="0" borderId="10" xfId="0" applyBorder="1" applyAlignment="1">
      <alignment horizontal="center" vertical="center"/>
    </xf>
    <xf numFmtId="0" fontId="0" fillId="0" borderId="12" xfId="0" applyBorder="1" applyAlignment="1">
      <alignment vertical="center"/>
    </xf>
    <xf numFmtId="0" fontId="0" fillId="0" borderId="11" xfId="0" applyBorder="1" applyAlignment="1">
      <alignment vertical="center"/>
    </xf>
    <xf numFmtId="0" fontId="6" fillId="4" borderId="1" xfId="2" applyFont="1" applyFill="1" applyBorder="1" applyAlignment="1">
      <alignment horizontal="center" vertical="center"/>
    </xf>
    <xf numFmtId="0" fontId="0" fillId="0" borderId="0" xfId="0" applyAlignment="1">
      <alignment horizontal="center"/>
    </xf>
    <xf numFmtId="0" fontId="0" fillId="0" borderId="13" xfId="0" applyBorder="1" applyAlignment="1">
      <alignment vertical="center"/>
    </xf>
    <xf numFmtId="8" fontId="0" fillId="2" borderId="10" xfId="0" applyNumberFormat="1" applyFill="1" applyBorder="1" applyAlignment="1">
      <alignment vertical="center"/>
    </xf>
    <xf numFmtId="8" fontId="0" fillId="0" borderId="11" xfId="0" applyNumberFormat="1" applyBorder="1" applyAlignment="1">
      <alignment vertical="center"/>
    </xf>
    <xf numFmtId="8" fontId="0" fillId="2" borderId="14" xfId="0" applyNumberFormat="1" applyFill="1" applyBorder="1" applyAlignment="1">
      <alignment vertical="center"/>
    </xf>
    <xf numFmtId="8" fontId="0" fillId="0" borderId="12" xfId="0" applyNumberFormat="1" applyBorder="1" applyAlignment="1">
      <alignment vertical="center"/>
    </xf>
    <xf numFmtId="8" fontId="0" fillId="0" borderId="13" xfId="0" applyNumberFormat="1" applyBorder="1" applyAlignment="1">
      <alignment vertical="center"/>
    </xf>
    <xf numFmtId="0" fontId="0" fillId="0" borderId="0" xfId="0" applyFill="1"/>
    <xf numFmtId="0" fontId="0" fillId="0" borderId="0" xfId="0" applyFill="1" applyAlignment="1">
      <alignment horizontal="center"/>
    </xf>
    <xf numFmtId="0" fontId="0" fillId="0" borderId="1" xfId="0" applyBorder="1" applyAlignment="1">
      <alignment horizontal="center"/>
    </xf>
    <xf numFmtId="0" fontId="0" fillId="0" borderId="0" xfId="0" applyBorder="1"/>
    <xf numFmtId="0" fontId="0" fillId="0" borderId="0" xfId="0" applyBorder="1" applyAlignment="1">
      <alignment horizontal="center"/>
    </xf>
    <xf numFmtId="0" fontId="6" fillId="4" borderId="1" xfId="2" applyFont="1" applyFill="1" applyBorder="1" applyAlignment="1">
      <alignment horizontal="left" vertical="center"/>
    </xf>
    <xf numFmtId="0" fontId="0" fillId="0" borderId="1" xfId="0" applyBorder="1" applyAlignment="1">
      <alignment horizontal="left"/>
    </xf>
    <xf numFmtId="0" fontId="0" fillId="0" borderId="0" xfId="0" applyAlignment="1">
      <alignment horizontal="left"/>
    </xf>
    <xf numFmtId="0" fontId="0" fillId="0" borderId="0" xfId="0" applyBorder="1" applyAlignment="1">
      <alignment horizontal="left"/>
    </xf>
    <xf numFmtId="14" fontId="0" fillId="2" borderId="8" xfId="0" applyNumberFormat="1" applyFill="1" applyBorder="1" applyAlignment="1">
      <alignment horizontal="center" vertical="center"/>
    </xf>
    <xf numFmtId="14" fontId="0" fillId="2" borderId="1" xfId="0" applyNumberFormat="1" applyFill="1" applyBorder="1" applyAlignment="1">
      <alignment horizontal="center" vertical="center"/>
    </xf>
    <xf numFmtId="0" fontId="3" fillId="0" borderId="1" xfId="0" applyFont="1" applyBorder="1" applyAlignment="1">
      <alignment horizontal="left" vertical="center" wrapText="1"/>
    </xf>
    <xf numFmtId="0" fontId="3" fillId="0" borderId="9" xfId="0" applyFont="1" applyBorder="1" applyAlignment="1">
      <alignment horizontal="left" vertical="center" wrapText="1"/>
    </xf>
    <xf numFmtId="14" fontId="0" fillId="2" borderId="10" xfId="0" applyNumberFormat="1" applyFill="1" applyBorder="1" applyAlignment="1">
      <alignment horizontal="center" vertical="center"/>
    </xf>
    <xf numFmtId="14" fontId="0" fillId="2" borderId="14" xfId="0" applyNumberFormat="1" applyFill="1" applyBorder="1" applyAlignment="1">
      <alignment horizontal="center" vertical="center"/>
    </xf>
    <xf numFmtId="0" fontId="3" fillId="0" borderId="14" xfId="0" applyFont="1" applyBorder="1" applyAlignment="1">
      <alignment horizontal="left" vertical="center" wrapText="1"/>
    </xf>
    <xf numFmtId="0" fontId="3" fillId="0" borderId="15" xfId="0" applyFont="1" applyBorder="1" applyAlignment="1">
      <alignment horizontal="left" vertical="center" wrapText="1"/>
    </xf>
    <xf numFmtId="0" fontId="3" fillId="0" borderId="2" xfId="0" applyFont="1" applyBorder="1" applyAlignment="1">
      <alignment horizontal="left" vertical="center" wrapText="1"/>
    </xf>
    <xf numFmtId="0" fontId="3" fillId="0" borderId="3" xfId="0" applyFont="1" applyBorder="1" applyAlignment="1">
      <alignment horizontal="left" vertical="center" wrapText="1"/>
    </xf>
    <xf numFmtId="0" fontId="3" fillId="0" borderId="24" xfId="0" applyFont="1" applyBorder="1" applyAlignment="1">
      <alignment horizontal="left" vertical="center" wrapText="1"/>
    </xf>
    <xf numFmtId="0" fontId="0" fillId="0" borderId="22" xfId="0" applyBorder="1" applyAlignment="1">
      <alignment horizontal="center" vertical="center"/>
    </xf>
    <xf numFmtId="0" fontId="0" fillId="2" borderId="5" xfId="0" applyFill="1" applyBorder="1" applyAlignment="1">
      <alignment horizontal="center" vertical="center"/>
    </xf>
    <xf numFmtId="0" fontId="0" fillId="2" borderId="6" xfId="0" applyFill="1" applyBorder="1" applyAlignment="1">
      <alignment horizontal="center" vertical="center"/>
    </xf>
    <xf numFmtId="0" fontId="0" fillId="0" borderId="6" xfId="0" applyBorder="1" applyAlignment="1">
      <alignment horizontal="left" vertical="center"/>
    </xf>
    <xf numFmtId="0" fontId="0" fillId="2" borderId="18" xfId="0" applyFill="1" applyBorder="1" applyAlignment="1">
      <alignment horizontal="center" vertical="center"/>
    </xf>
    <xf numFmtId="0" fontId="0" fillId="2" borderId="20" xfId="0" applyFill="1" applyBorder="1" applyAlignment="1">
      <alignment horizontal="center" vertical="center"/>
    </xf>
    <xf numFmtId="0" fontId="0" fillId="0" borderId="7" xfId="0" applyBorder="1" applyAlignment="1">
      <alignment horizontal="left" vertical="center"/>
    </xf>
    <xf numFmtId="0" fontId="0" fillId="2" borderId="10" xfId="0" applyFill="1" applyBorder="1" applyAlignment="1">
      <alignment horizontal="center" vertical="center"/>
    </xf>
    <xf numFmtId="0" fontId="0" fillId="2" borderId="14" xfId="0" applyFill="1" applyBorder="1" applyAlignment="1">
      <alignment horizontal="center" vertical="center"/>
    </xf>
    <xf numFmtId="0" fontId="0" fillId="0" borderId="14" xfId="0" applyBorder="1" applyAlignment="1">
      <alignment horizontal="left" vertical="center"/>
    </xf>
    <xf numFmtId="0" fontId="0" fillId="0" borderId="15" xfId="0" applyBorder="1" applyAlignment="1">
      <alignment horizontal="left" vertical="center"/>
    </xf>
    <xf numFmtId="0" fontId="0" fillId="2" borderId="16" xfId="0" applyFill="1" applyBorder="1" applyAlignment="1">
      <alignment horizontal="center" vertical="center"/>
    </xf>
    <xf numFmtId="0" fontId="0" fillId="2" borderId="17" xfId="0" applyFill="1" applyBorder="1" applyAlignment="1">
      <alignment horizontal="center" vertical="center"/>
    </xf>
    <xf numFmtId="0" fontId="0" fillId="2" borderId="21" xfId="0" applyFill="1" applyBorder="1" applyAlignment="1">
      <alignment horizontal="center" vertical="center"/>
    </xf>
    <xf numFmtId="14" fontId="0" fillId="2" borderId="5" xfId="0" applyNumberFormat="1" applyFill="1" applyBorder="1" applyAlignment="1">
      <alignment horizontal="center" vertical="center"/>
    </xf>
    <xf numFmtId="14" fontId="0" fillId="2" borderId="6" xfId="0" applyNumberFormat="1" applyFill="1" applyBorder="1" applyAlignment="1">
      <alignment horizontal="center" vertical="center"/>
    </xf>
    <xf numFmtId="164" fontId="0" fillId="0" borderId="14" xfId="0" applyNumberFormat="1" applyBorder="1" applyAlignment="1">
      <alignment horizontal="left" vertical="center"/>
    </xf>
    <xf numFmtId="164" fontId="0" fillId="0" borderId="15" xfId="0" applyNumberFormat="1" applyBorder="1" applyAlignment="1">
      <alignment horizontal="left" vertical="center"/>
    </xf>
    <xf numFmtId="0" fontId="0" fillId="0" borderId="8" xfId="0" applyBorder="1" applyAlignment="1">
      <alignment horizontal="left" vertical="center"/>
    </xf>
    <xf numFmtId="0" fontId="0" fillId="0" borderId="1" xfId="0" applyBorder="1" applyAlignment="1">
      <alignment horizontal="left" vertical="center"/>
    </xf>
    <xf numFmtId="164" fontId="0" fillId="0" borderId="2" xfId="0" applyNumberFormat="1" applyBorder="1" applyAlignment="1">
      <alignment horizontal="center" vertical="center"/>
    </xf>
    <xf numFmtId="164" fontId="0" fillId="0" borderId="4" xfId="0" applyNumberFormat="1" applyBorder="1" applyAlignment="1">
      <alignment horizontal="center" vertical="center"/>
    </xf>
    <xf numFmtId="164" fontId="0" fillId="0" borderId="3" xfId="0" applyNumberFormat="1" applyBorder="1" applyAlignment="1">
      <alignment horizontal="center" vertical="center"/>
    </xf>
    <xf numFmtId="164" fontId="0" fillId="0" borderId="1" xfId="0" applyNumberFormat="1" applyBorder="1" applyAlignment="1">
      <alignment horizontal="left" vertical="center"/>
    </xf>
    <xf numFmtId="164" fontId="0" fillId="0" borderId="9" xfId="0" applyNumberFormat="1" applyBorder="1" applyAlignment="1">
      <alignment horizontal="left" vertical="center"/>
    </xf>
    <xf numFmtId="0" fontId="0" fillId="0" borderId="10" xfId="0" applyBorder="1" applyAlignment="1">
      <alignment horizontal="left" vertical="center"/>
    </xf>
    <xf numFmtId="164" fontId="0" fillId="0" borderId="11" xfId="0" applyNumberFormat="1" applyBorder="1" applyAlignment="1">
      <alignment horizontal="center" vertical="center"/>
    </xf>
    <xf numFmtId="164" fontId="0" fillId="0" borderId="13" xfId="0" applyNumberFormat="1" applyBorder="1" applyAlignment="1">
      <alignment horizontal="center" vertical="center"/>
    </xf>
    <xf numFmtId="164" fontId="0" fillId="0" borderId="12" xfId="0" applyNumberFormat="1" applyBorder="1" applyAlignment="1">
      <alignment horizontal="center" vertical="center"/>
    </xf>
    <xf numFmtId="0" fontId="1" fillId="0" borderId="1" xfId="1" applyBorder="1" applyAlignment="1">
      <alignment horizontal="left" vertical="center"/>
    </xf>
    <xf numFmtId="0" fontId="1" fillId="0" borderId="9" xfId="1" applyBorder="1" applyAlignment="1">
      <alignment horizontal="left" vertical="center"/>
    </xf>
    <xf numFmtId="0" fontId="0" fillId="0" borderId="17" xfId="0" applyFill="1" applyBorder="1" applyAlignment="1">
      <alignment horizontal="center" vertical="center"/>
    </xf>
    <xf numFmtId="0" fontId="0" fillId="0" borderId="21" xfId="0" applyFill="1" applyBorder="1" applyAlignment="1">
      <alignment horizontal="center" vertical="center"/>
    </xf>
    <xf numFmtId="0" fontId="0" fillId="0" borderId="23" xfId="0" applyBorder="1" applyAlignment="1">
      <alignment horizontal="center" vertical="center"/>
    </xf>
    <xf numFmtId="0" fontId="0" fillId="2" borderId="5" xfId="0" applyFill="1" applyBorder="1" applyAlignment="1">
      <alignment horizontal="left" vertical="center"/>
    </xf>
    <xf numFmtId="0" fontId="0" fillId="2" borderId="6" xfId="0" applyFill="1" applyBorder="1" applyAlignment="1">
      <alignment horizontal="left" vertical="center"/>
    </xf>
    <xf numFmtId="0" fontId="0" fillId="2" borderId="19" xfId="0" applyFill="1" applyBorder="1" applyAlignment="1">
      <alignment horizontal="center" vertical="center"/>
    </xf>
    <xf numFmtId="0" fontId="0" fillId="2" borderId="7" xfId="0" applyFill="1" applyBorder="1" applyAlignment="1">
      <alignment horizontal="center" vertical="center"/>
    </xf>
    <xf numFmtId="0" fontId="0" fillId="2" borderId="16" xfId="0" applyFill="1" applyBorder="1" applyAlignment="1">
      <alignment horizontal="left" vertical="center"/>
    </xf>
    <xf numFmtId="0" fontId="0" fillId="2" borderId="17" xfId="0" applyFill="1" applyBorder="1" applyAlignment="1">
      <alignment horizontal="left" vertical="center"/>
    </xf>
    <xf numFmtId="0" fontId="0" fillId="0" borderId="17" xfId="0" applyBorder="1" applyAlignment="1">
      <alignment horizontal="center" vertical="center"/>
    </xf>
    <xf numFmtId="0" fontId="0" fillId="0" borderId="2" xfId="0" applyBorder="1" applyAlignment="1">
      <alignment horizontal="left" vertical="center"/>
    </xf>
    <xf numFmtId="0" fontId="0" fillId="2" borderId="8" xfId="0" applyFill="1" applyBorder="1" applyAlignment="1">
      <alignment horizontal="center" vertical="center"/>
    </xf>
    <xf numFmtId="0" fontId="0" fillId="2" borderId="1" xfId="0" applyFill="1" applyBorder="1" applyAlignment="1">
      <alignment horizontal="center" vertical="center"/>
    </xf>
    <xf numFmtId="0" fontId="0" fillId="0" borderId="1" xfId="0" applyBorder="1" applyAlignment="1">
      <alignment horizontal="center" vertical="center"/>
    </xf>
    <xf numFmtId="0" fontId="0" fillId="0" borderId="9" xfId="0" applyBorder="1" applyAlignment="1">
      <alignment horizontal="center" vertical="center"/>
    </xf>
    <xf numFmtId="0" fontId="0" fillId="2" borderId="9" xfId="0" applyFill="1" applyBorder="1" applyAlignment="1">
      <alignment horizontal="center" vertical="center"/>
    </xf>
    <xf numFmtId="164" fontId="0" fillId="0" borderId="14" xfId="0" applyNumberFormat="1" applyBorder="1" applyAlignment="1">
      <alignment horizontal="center" vertical="center"/>
    </xf>
    <xf numFmtId="0" fontId="0" fillId="0" borderId="14" xfId="0" applyBorder="1" applyAlignment="1">
      <alignment horizontal="center" vertical="center"/>
    </xf>
    <xf numFmtId="0" fontId="0" fillId="0" borderId="15" xfId="0" applyBorder="1" applyAlignment="1">
      <alignment horizontal="center" vertical="center"/>
    </xf>
    <xf numFmtId="0" fontId="2" fillId="2" borderId="1" xfId="0" applyFont="1" applyFill="1" applyBorder="1" applyAlignment="1">
      <alignment horizontal="center" vertical="center"/>
    </xf>
    <xf numFmtId="0" fontId="0" fillId="0" borderId="12" xfId="0" applyBorder="1" applyAlignment="1">
      <alignment horizontal="center" vertical="center"/>
    </xf>
    <xf numFmtId="0" fontId="0" fillId="0" borderId="18" xfId="0" applyBorder="1" applyAlignment="1">
      <alignment horizontal="left" vertical="center"/>
    </xf>
    <xf numFmtId="0" fontId="0" fillId="0" borderId="6" xfId="0" applyBorder="1" applyAlignment="1">
      <alignment horizontal="center" vertical="center"/>
    </xf>
    <xf numFmtId="0" fontId="0" fillId="0" borderId="7" xfId="0" applyBorder="1" applyAlignment="1">
      <alignment horizontal="center" vertical="center"/>
    </xf>
    <xf numFmtId="0" fontId="3" fillId="0" borderId="6" xfId="0" applyFont="1" applyBorder="1" applyAlignment="1">
      <alignment horizontal="left" vertical="center" wrapText="1"/>
    </xf>
    <xf numFmtId="0" fontId="3" fillId="0" borderId="7" xfId="0" applyFont="1" applyBorder="1" applyAlignment="1">
      <alignment horizontal="left" vertical="center" wrapText="1"/>
    </xf>
    <xf numFmtId="0" fontId="0" fillId="0" borderId="10" xfId="0" applyBorder="1" applyAlignment="1">
      <alignment horizontal="center" vertical="center"/>
    </xf>
    <xf numFmtId="164" fontId="1" fillId="0" borderId="1" xfId="1" applyNumberFormat="1" applyBorder="1" applyAlignment="1">
      <alignment horizontal="left" vertical="center"/>
    </xf>
    <xf numFmtId="0" fontId="0" fillId="0" borderId="22" xfId="0" applyFill="1" applyBorder="1" applyAlignment="1">
      <alignment horizontal="center" vertical="center"/>
    </xf>
    <xf numFmtId="0" fontId="1" fillId="0" borderId="14" xfId="1" applyBorder="1" applyAlignment="1">
      <alignment horizontal="left" vertical="center"/>
    </xf>
    <xf numFmtId="164" fontId="0" fillId="0" borderId="27" xfId="0" applyNumberFormat="1" applyBorder="1" applyAlignment="1">
      <alignment horizontal="left" vertical="center"/>
    </xf>
    <xf numFmtId="164" fontId="0" fillId="0" borderId="28" xfId="0" applyNumberFormat="1" applyBorder="1" applyAlignment="1">
      <alignment horizontal="left" vertical="center"/>
    </xf>
    <xf numFmtId="0" fontId="0" fillId="2" borderId="25" xfId="0" applyFill="1" applyBorder="1" applyAlignment="1">
      <alignment horizontal="center" vertical="center"/>
    </xf>
    <xf numFmtId="0" fontId="0" fillId="2" borderId="26" xfId="0" applyFill="1" applyBorder="1" applyAlignment="1">
      <alignment horizontal="center" vertical="center"/>
    </xf>
    <xf numFmtId="16" fontId="3" fillId="0" borderId="1" xfId="0" applyNumberFormat="1" applyFont="1" applyBorder="1" applyAlignment="1">
      <alignment horizontal="left" vertical="center" wrapText="1"/>
    </xf>
    <xf numFmtId="10" fontId="0" fillId="0" borderId="1" xfId="0" applyNumberFormat="1" applyFill="1" applyBorder="1" applyAlignment="1">
      <alignment horizontal="center" vertical="center"/>
    </xf>
    <xf numFmtId="0" fontId="0" fillId="3" borderId="1" xfId="0" applyFill="1" applyBorder="1" applyAlignment="1">
      <alignment horizontal="center" vertical="center"/>
    </xf>
  </cellXfs>
  <cellStyles count="3">
    <cellStyle name="Lien hypertexte" xfId="1" builtinId="8"/>
    <cellStyle name="Normal" xfId="0" builtinId="0"/>
    <cellStyle name="Normal 2" xfId="2"/>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theme" Target="theme/theme1.xml"/><Relationship Id="rId5" Type="http://schemas.openxmlformats.org/officeDocument/2006/relationships/worksheet" Target="worksheets/sheet5.xml"/><Relationship Id="rId61" Type="http://schemas.openxmlformats.org/officeDocument/2006/relationships/calcChain" Target="calcChain.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s>
</file>

<file path=xl/drawings/drawing1.xml><?xml version="1.0" encoding="utf-8"?>
<xdr:wsDr xmlns:xdr="http://schemas.openxmlformats.org/drawingml/2006/spreadsheetDrawing" xmlns:a="http://schemas.openxmlformats.org/drawingml/2006/main">
  <xdr:twoCellAnchor>
    <xdr:from>
      <xdr:col>6</xdr:col>
      <xdr:colOff>0</xdr:colOff>
      <xdr:row>2</xdr:row>
      <xdr:rowOff>0</xdr:rowOff>
    </xdr:from>
    <xdr:to>
      <xdr:col>9</xdr:col>
      <xdr:colOff>161925</xdr:colOff>
      <xdr:row>10</xdr:row>
      <xdr:rowOff>47625</xdr:rowOff>
    </xdr:to>
    <xdr:sp macro="[0]!Adresses" textlink="">
      <xdr:nvSpPr>
        <xdr:cNvPr id="2" name="Nuage 1"/>
        <xdr:cNvSpPr/>
      </xdr:nvSpPr>
      <xdr:spPr>
        <a:xfrm>
          <a:off x="7962900" y="381000"/>
          <a:ext cx="2447925" cy="1571625"/>
        </a:xfrm>
        <a:prstGeom prst="cloud">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600" b="1"/>
            <a:t>Lancer Macro Adresses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9</xdr:col>
      <xdr:colOff>695325</xdr:colOff>
      <xdr:row>4</xdr:row>
      <xdr:rowOff>76199</xdr:rowOff>
    </xdr:from>
    <xdr:to>
      <xdr:col>13</xdr:col>
      <xdr:colOff>95250</xdr:colOff>
      <xdr:row>12</xdr:row>
      <xdr:rowOff>123824</xdr:rowOff>
    </xdr:to>
    <xdr:sp macro="[0]!Synhtèse" textlink="">
      <xdr:nvSpPr>
        <xdr:cNvPr id="2" name="Nuage 1"/>
        <xdr:cNvSpPr/>
      </xdr:nvSpPr>
      <xdr:spPr>
        <a:xfrm>
          <a:off x="11020425" y="838199"/>
          <a:ext cx="2447925" cy="1571625"/>
        </a:xfrm>
        <a:prstGeom prst="cloud">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600" b="1"/>
            <a:t>Lancer Macro Synthèse</a:t>
          </a:r>
        </a:p>
      </xdr:txBody>
    </xdr:sp>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mailto:renierm@ch-agen.fr" TargetMode="External"/></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mailto:neonatologiesi@chu-amiens.fr" TargetMode="Externa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mailto:geraldine.vallee@chu-angers.fr" TargetMode="External"/><Relationship Id="rId1" Type="http://schemas.openxmlformats.org/officeDocument/2006/relationships/hyperlink" Target="mailto:gaelle.yvin@chu-angers.fr" TargetMode="Externa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mailto:jean-philippe.courcol@ch-arras.fr" TargetMode="External"/></Relationships>
</file>

<file path=xl/worksheets/_rels/sheet6.xml.rels><?xml version="1.0" encoding="UTF-8" standalone="yes"?>
<Relationships xmlns="http://schemas.openxmlformats.org/package/2006/relationships"><Relationship Id="rId3" Type="http://schemas.openxmlformats.org/officeDocument/2006/relationships/hyperlink" Target="mailto:mcochelin@ch-auxerre.fr" TargetMode="External"/><Relationship Id="rId2" Type="http://schemas.openxmlformats.org/officeDocument/2006/relationships/hyperlink" Target="mailto:badam@ch-auxerre.fr" TargetMode="External"/><Relationship Id="rId1" Type="http://schemas.openxmlformats.org/officeDocument/2006/relationships/hyperlink" Target="mailto:ftoussaint@ch-auxerre.fr" TargetMode="External"/><Relationship Id="rId4"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mailto:sdelaguila@ch-avignon.fr" TargetMode="External"/></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mailto:christele.leriquier@ch-avranches-granville.fr" TargetMode="Externa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mailto:fsouviraa@ch-cotebasque.fr" TargetMode="External"/></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hyperlink" Target="mailto:a.bonan@ch-beauvais.fr" TargetMode="Externa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hyperlink" Target="mailto:cartromn@ch-blois.fr" TargetMode="External"/></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hyperlink" Target="mailto:camille.heidet@jvr.aphp.fr" TargetMode="Externa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openxmlformats.org/officeDocument/2006/relationships/hyperlink" Target="mailto:cadre_neonat@ch-boulogne.fr" TargetMode="External"/></Relationships>
</file>

<file path=xl/worksheets/_rels/sheet15.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hyperlink" Target="mailto:anaisk877@gmail.com" TargetMode="External"/></Relationships>
</file>

<file path=xl/worksheets/_rels/sheet16.xml.rels><?xml version="1.0" encoding="UTF-8" standalone="yes"?>
<Relationships xmlns="http://schemas.openxmlformats.org/package/2006/relationships"><Relationship Id="rId2" Type="http://schemas.openxmlformats.org/officeDocument/2006/relationships/printerSettings" Target="../printerSettings/printerSettings16.bin"/><Relationship Id="rId1" Type="http://schemas.openxmlformats.org/officeDocument/2006/relationships/hyperlink" Target="mailto:cs.neonat@ch-calais.fr" TargetMode="External"/></Relationships>
</file>

<file path=xl/worksheets/_rels/sheet17.xml.rels><?xml version="1.0" encoding="UTF-8" standalone="yes"?>
<Relationships xmlns="http://schemas.openxmlformats.org/package/2006/relationships"><Relationship Id="rId2" Type="http://schemas.openxmlformats.org/officeDocument/2006/relationships/printerSettings" Target="../printerSettings/printerSettings17.bin"/><Relationship Id="rId1" Type="http://schemas.openxmlformats.org/officeDocument/2006/relationships/hyperlink" Target="mailto:aurelie.mercier@ch-chambery.fr" TargetMode="External"/></Relationships>
</file>

<file path=xl/worksheets/_rels/sheet18.xml.rels><?xml version="1.0" encoding="UTF-8" standalone="yes"?>
<Relationships xmlns="http://schemas.openxmlformats.org/package/2006/relationships"><Relationship Id="rId2" Type="http://schemas.openxmlformats.org/officeDocument/2006/relationships/printerSettings" Target="../printerSettings/printerSettings18.bin"/><Relationship Id="rId1" Type="http://schemas.openxmlformats.org/officeDocument/2006/relationships/hyperlink" Target="mailto:nathalie.galand@ch-sud-francilien.fr" TargetMode="External"/></Relationships>
</file>

<file path=xl/worksheets/_rels/sheet19.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hyperlink" Target="mailto:sophie.benoit@ghpso.fr" TargetMode="External"/></Relationships>
</file>

<file path=xl/worksheets/_rels/sheet20.xml.rels><?xml version="1.0" encoding="UTF-8" standalone="yes"?>
<Relationships xmlns="http://schemas.openxmlformats.org/package/2006/relationships"><Relationship Id="rId3" Type="http://schemas.openxmlformats.org/officeDocument/2006/relationships/printerSettings" Target="../printerSettings/printerSettings20.bin"/><Relationship Id="rId2" Type="http://schemas.openxmlformats.org/officeDocument/2006/relationships/hyperlink" Target="mailto:magali.massoulle@chicreteil.fr" TargetMode="External"/><Relationship Id="rId1" Type="http://schemas.openxmlformats.org/officeDocument/2006/relationships/hyperlink" Target="mailto:anne.peluchon@chicreteil.fr" TargetMode="External"/></Relationships>
</file>

<file path=xl/worksheets/_rels/sheet21.xml.rels><?xml version="1.0" encoding="UTF-8" standalone="yes"?>
<Relationships xmlns="http://schemas.openxmlformats.org/package/2006/relationships"><Relationship Id="rId3" Type="http://schemas.openxmlformats.org/officeDocument/2006/relationships/hyperlink" Target="mailto:bfavard@chu-clermontferrand.fr" TargetMode="External"/><Relationship Id="rId2" Type="http://schemas.openxmlformats.org/officeDocument/2006/relationships/hyperlink" Target="mailto:sclauzon@chu-clermontferrand.fr" TargetMode="External"/><Relationship Id="rId1" Type="http://schemas.openxmlformats.org/officeDocument/2006/relationships/hyperlink" Target="mailto:sfourgeaud@chu-clermontferrand.fr" TargetMode="External"/><Relationship Id="rId4"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printerSettings" Target="../printerSettings/printerSettings22.bin"/><Relationship Id="rId2" Type="http://schemas.openxmlformats.org/officeDocument/2006/relationships/hyperlink" Target="mailto:prematurespcinfirmier@ch-cholet.fr" TargetMode="External"/><Relationship Id="rId1" Type="http://schemas.openxmlformats.org/officeDocument/2006/relationships/hyperlink" Target="mailto:severine.thiebaux@ch-cholet.fr" TargetMode="External"/></Relationships>
</file>

<file path=xl/worksheets/_rels/sheet23.xml.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openxmlformats.org/officeDocument/2006/relationships/hyperlink" Target="mailto:f.lacroix@gsante.fr" TargetMode="External"/></Relationships>
</file>

<file path=xl/worksheets/_rels/sheet24.xml.rels><?xml version="1.0" encoding="UTF-8" standalone="yes"?>
<Relationships xmlns="http://schemas.openxmlformats.org/package/2006/relationships"><Relationship Id="rId2" Type="http://schemas.openxmlformats.org/officeDocument/2006/relationships/printerSettings" Target="../printerSettings/printerSettings24.bin"/><Relationship Id="rId1" Type="http://schemas.openxmlformats.org/officeDocument/2006/relationships/hyperlink" Target="mailto:sylvie.staub@ch-simoneveil.fr" TargetMode="External"/></Relationships>
</file>

<file path=xl/worksheets/_rels/sheet25.xml.rels><?xml version="1.0" encoding="UTF-8" standalone="yes"?>
<Relationships xmlns="http://schemas.openxmlformats.org/package/2006/relationships"><Relationship Id="rId2" Type="http://schemas.openxmlformats.org/officeDocument/2006/relationships/printerSettings" Target="../printerSettings/printerSettings25.bin"/><Relationship Id="rId1" Type="http://schemas.openxmlformats.org/officeDocument/2006/relationships/hyperlink" Target="mailto:pons-thomas@ch-fontainebleau.fr" TargetMode="Externa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printerSettings" Target="../printerSettings/printerSettings27.bin"/><Relationship Id="rId1" Type="http://schemas.openxmlformats.org/officeDocument/2006/relationships/hyperlink" Target="mailto:danielle.hoff@ch-hagueneau.fr" TargetMode="External"/></Relationships>
</file>

<file path=xl/worksheets/_rels/sheet28.xml.rels><?xml version="1.0" encoding="UTF-8" standalone="yes"?>
<Relationships xmlns="http://schemas.openxmlformats.org/package/2006/relationships"><Relationship Id="rId2" Type="http://schemas.openxmlformats.org/officeDocument/2006/relationships/printerSettings" Target="../printerSettings/printerSettings28.bin"/><Relationship Id="rId1" Type="http://schemas.openxmlformats.org/officeDocument/2006/relationships/hyperlink" Target="mailto:abarron@ch-lagny77.fr" TargetMode="External"/></Relationships>
</file>

<file path=xl/worksheets/_rels/sheet29.xml.rels><?xml version="1.0" encoding="UTF-8" standalone="yes"?>
<Relationships xmlns="http://schemas.openxmlformats.org/package/2006/relationships"><Relationship Id="rId2" Type="http://schemas.openxmlformats.org/officeDocument/2006/relationships/printerSettings" Target="../printerSettings/printerSettings29.bin"/><Relationship Id="rId1" Type="http://schemas.openxmlformats.org/officeDocument/2006/relationships/hyperlink" Target="mailto:stephanie.chaillot@chd-vend&#233;e.fr" TargetMode="External"/></Relationships>
</file>

<file path=xl/worksheets/_rels/sheet30.xml.rels><?xml version="1.0" encoding="UTF-8" standalone="yes"?>
<Relationships xmlns="http://schemas.openxmlformats.org/package/2006/relationships"><Relationship Id="rId2" Type="http://schemas.openxmlformats.org/officeDocument/2006/relationships/printerSettings" Target="../printerSettings/printerSettings30.bin"/><Relationship Id="rId1" Type="http://schemas.openxmlformats.org/officeDocument/2006/relationships/hyperlink" Target="mailto:a.ducrocq@gsante.fr" TargetMode="External"/></Relationships>
</file>

<file path=xl/worksheets/_rels/sheet31.xml.rels><?xml version="1.0" encoding="UTF-8" standalone="yes"?>
<Relationships xmlns="http://schemas.openxmlformats.org/package/2006/relationships"><Relationship Id="rId3" Type="http://schemas.openxmlformats.org/officeDocument/2006/relationships/printerSettings" Target="../printerSettings/printerSettings31.bin"/><Relationship Id="rId2" Type="http://schemas.openxmlformats.org/officeDocument/2006/relationships/hyperlink" Target="mailto:cristina.da-silva@ch-havre.fr" TargetMode="External"/><Relationship Id="rId1" Type="http://schemas.openxmlformats.org/officeDocument/2006/relationships/hyperlink" Target="mailto:fanny.hody@ch-havre.fr" TargetMode="External"/></Relationships>
</file>

<file path=xl/worksheets/_rels/sheet32.xml.rels><?xml version="1.0" encoding="UTF-8" standalone="yes"?>
<Relationships xmlns="http://schemas.openxmlformats.org/package/2006/relationships"><Relationship Id="rId2" Type="http://schemas.openxmlformats.org/officeDocument/2006/relationships/printerSettings" Target="../printerSettings/printerSettings32.bin"/><Relationship Id="rId1" Type="http://schemas.openxmlformats.org/officeDocument/2006/relationships/hyperlink" Target="mailto:marie-elisabeth.almira@bct.aphp.fr" TargetMode="External"/></Relationships>
</file>

<file path=xl/worksheets/_rels/sheet33.xml.rels><?xml version="1.0" encoding="UTF-8" standalone="yes"?>
<Relationships xmlns="http://schemas.openxmlformats.org/package/2006/relationships"><Relationship Id="rId2" Type="http://schemas.openxmlformats.org/officeDocument/2006/relationships/printerSettings" Target="../printerSettings/printerSettings33.bin"/><Relationship Id="rId1" Type="http://schemas.openxmlformats.org/officeDocument/2006/relationships/hyperlink" Target="mailto:jfplumail@ch-lemans.fr" TargetMode="External"/></Relationships>
</file>

<file path=xl/worksheets/_rels/sheet34.xml.rels><?xml version="1.0" encoding="UTF-8" standalone="yes"?>
<Relationships xmlns="http://schemas.openxmlformats.org/package/2006/relationships"><Relationship Id="rId2" Type="http://schemas.openxmlformats.org/officeDocument/2006/relationships/printerSettings" Target="../printerSettings/printerSettings34.bin"/><Relationship Id="rId1" Type="http://schemas.openxmlformats.org/officeDocument/2006/relationships/hyperlink" Target="mailto:refneonat@tertrerouge.fr" TargetMode="External"/></Relationships>
</file>

<file path=xl/worksheets/_rels/sheet35.xml.rels><?xml version="1.0" encoding="UTF-8" standalone="yes"?>
<Relationships xmlns="http://schemas.openxmlformats.org/package/2006/relationships"><Relationship Id="rId3" Type="http://schemas.openxmlformats.org/officeDocument/2006/relationships/printerSettings" Target="../printerSettings/printerSettings35.bin"/><Relationship Id="rId2" Type="http://schemas.openxmlformats.org/officeDocument/2006/relationships/hyperlink" Target="mailto:cfieffe@ch-lens.fr" TargetMode="External"/><Relationship Id="rId1" Type="http://schemas.openxmlformats.org/officeDocument/2006/relationships/hyperlink" Target="mailto:csegers@ch-lens.fr" TargetMode="Externa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3" Type="http://schemas.openxmlformats.org/officeDocument/2006/relationships/hyperlink" Target="mailto:bruno.carbone@chpg.mc" TargetMode="External"/><Relationship Id="rId2" Type="http://schemas.openxmlformats.org/officeDocument/2006/relationships/hyperlink" Target="mailto:sophie.deroussen@chpg.mc" TargetMode="External"/><Relationship Id="rId1" Type="http://schemas.openxmlformats.org/officeDocument/2006/relationships/hyperlink" Target="mailto:michele.berlioz@chpg.mc" TargetMode="External"/><Relationship Id="rId5" Type="http://schemas.openxmlformats.org/officeDocument/2006/relationships/printerSettings" Target="../printerSettings/printerSettings38.bin"/><Relationship Id="rId4" Type="http://schemas.openxmlformats.org/officeDocument/2006/relationships/hyperlink" Target="mailto:valerie.accossato@chpg.mc" TargetMode="External"/></Relationships>
</file>

<file path=xl/worksheets/_rels/sheet39.xml.rels><?xml version="1.0" encoding="UTF-8" standalone="yes"?>
<Relationships xmlns="http://schemas.openxmlformats.org/package/2006/relationships"><Relationship Id="rId2" Type="http://schemas.openxmlformats.org/officeDocument/2006/relationships/printerSettings" Target="../printerSettings/printerSettings39.bin"/><Relationship Id="rId1" Type="http://schemas.openxmlformats.org/officeDocument/2006/relationships/hyperlink" Target="mailto:magali.bezely@ch-stbrieuc.fr" TargetMode="External"/></Relationships>
</file>

<file path=xl/worksheets/_rels/sheet40.xml.rels><?xml version="1.0" encoding="UTF-8" standalone="yes"?>
<Relationships xmlns="http://schemas.openxmlformats.org/package/2006/relationships"><Relationship Id="rId3" Type="http://schemas.openxmlformats.org/officeDocument/2006/relationships/hyperlink" Target="mailto:solange.muntiel@chu-st-etienne.fr" TargetMode="External"/><Relationship Id="rId2" Type="http://schemas.openxmlformats.org/officeDocument/2006/relationships/hyperlink" Target="mailto:christine.reduron@chu-st-etienne.fr" TargetMode="External"/><Relationship Id="rId1" Type="http://schemas.openxmlformats.org/officeDocument/2006/relationships/hyperlink" Target="mailto:nathalie.raffin@chu-st-etienne.fr" TargetMode="External"/><Relationship Id="rId4"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printerSettings" Target="../printerSettings/printerSettings41.bin"/><Relationship Id="rId1" Type="http://schemas.openxmlformats.org/officeDocument/2006/relationships/hyperlink" Target="mailto:j.bufarull@ch-saintnazaire.fr" TargetMode="External"/></Relationships>
</file>

<file path=xl/worksheets/_rels/sheet42.xml.rels><?xml version="1.0" encoding="UTF-8" standalone="yes"?>
<Relationships xmlns="http://schemas.openxmlformats.org/package/2006/relationships"><Relationship Id="rId2" Type="http://schemas.openxmlformats.org/officeDocument/2006/relationships/printerSettings" Target="../printerSettings/printerSettings42.bin"/><Relationship Id="rId1" Type="http://schemas.openxmlformats.org/officeDocument/2006/relationships/hyperlink" Target="mailto:m.mahaud@ch-saintonge.fr" TargetMode="External"/></Relationships>
</file>

<file path=xl/worksheets/_rels/sheet43.xml.rels><?xml version="1.0" encoding="UTF-8" standalone="yes"?>
<Relationships xmlns="http://schemas.openxmlformats.org/package/2006/relationships"><Relationship Id="rId2" Type="http://schemas.openxmlformats.org/officeDocument/2006/relationships/printerSettings" Target="../printerSettings/printerSettings43.bin"/><Relationship Id="rId1" Type="http://schemas.openxmlformats.org/officeDocument/2006/relationships/hyperlink" Target="mailto:k.ouahidi@hopital-foch.com" TargetMode="External"/></Relationships>
</file>

<file path=xl/worksheets/_rels/sheet44.xml.rels><?xml version="1.0" encoding="UTF-8" standalone="yes"?>
<Relationships xmlns="http://schemas.openxmlformats.org/package/2006/relationships"><Relationship Id="rId3" Type="http://schemas.openxmlformats.org/officeDocument/2006/relationships/printerSettings" Target="../printerSettings/printerSettings44.bin"/><Relationship Id="rId2" Type="http://schemas.openxmlformats.org/officeDocument/2006/relationships/hyperlink" Target="mailto:yolaine.arella@chu-strasbourg.fr" TargetMode="External"/><Relationship Id="rId1" Type="http://schemas.openxmlformats.org/officeDocument/2006/relationships/hyperlink" Target="mailto:celine.cayeux@chu-strasbourg.fr" TargetMode="External"/></Relationships>
</file>

<file path=xl/worksheets/_rels/sheet45.xml.rels><?xml version="1.0" encoding="UTF-8" standalone="yes"?>
<Relationships xmlns="http://schemas.openxmlformats.org/package/2006/relationships"><Relationship Id="rId2" Type="http://schemas.openxmlformats.org/officeDocument/2006/relationships/printerSettings" Target="../printerSettings/printerSettings45.bin"/><Relationship Id="rId1" Type="http://schemas.openxmlformats.org/officeDocument/2006/relationships/hyperlink" Target="mailto:l.mouyeaux@chr-metz-thionville.fr" TargetMode="External"/></Relationships>
</file>

<file path=xl/worksheets/_rels/sheet46.xml.rels><?xml version="1.0" encoding="UTF-8" standalone="yes"?>
<Relationships xmlns="http://schemas.openxmlformats.org/package/2006/relationships"><Relationship Id="rId2" Type="http://schemas.openxmlformats.org/officeDocument/2006/relationships/printerSettings" Target="../printerSettings/printerSettings46.bin"/><Relationship Id="rId1" Type="http://schemas.openxmlformats.org/officeDocument/2006/relationships/hyperlink" Target="mailto:blasy.c@chu-toulouse.fr" TargetMode="External"/></Relationships>
</file>

<file path=xl/worksheets/_rels/sheet47.xml.rels><?xml version="1.0" encoding="UTF-8" standalone="yes"?>
<Relationships xmlns="http://schemas.openxmlformats.org/package/2006/relationships"><Relationship Id="rId3" Type="http://schemas.openxmlformats.org/officeDocument/2006/relationships/hyperlink" Target="mailto:p.chauvin@chu-tours.fr" TargetMode="External"/><Relationship Id="rId2" Type="http://schemas.openxmlformats.org/officeDocument/2006/relationships/hyperlink" Target="mailto:i.bourgoin@chu-tours.fr" TargetMode="External"/><Relationship Id="rId1" Type="http://schemas.openxmlformats.org/officeDocument/2006/relationships/hyperlink" Target="mailto:l.marin@chu-tours.fr" TargetMode="External"/><Relationship Id="rId4"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printerSettings" Target="../printerSettings/printerSettings48.bin"/><Relationship Id="rId1" Type="http://schemas.openxmlformats.org/officeDocument/2006/relationships/hyperlink" Target="mailto:remy-a@ch-valenciennes.fr" TargetMode="External"/></Relationships>
</file>

<file path=xl/worksheets/_rels/sheet49.xml.rels><?xml version="1.0" encoding="UTF-8" standalone="yes"?>
<Relationships xmlns="http://schemas.openxmlformats.org/package/2006/relationships"><Relationship Id="rId2" Type="http://schemas.openxmlformats.org/officeDocument/2006/relationships/printerSettings" Target="../printerSettings/printerSettings49.bin"/><Relationship Id="rId1" Type="http://schemas.openxmlformats.org/officeDocument/2006/relationships/hyperlink" Target="mailto:anne-laure.perrigaud@ch-bretagne-atlantique.fr" TargetMode="External"/></Relationships>
</file>

<file path=xl/worksheets/_rels/sheet50.xml.rels><?xml version="1.0" encoding="UTF-8" standalone="yes"?>
<Relationships xmlns="http://schemas.openxmlformats.org/package/2006/relationships"><Relationship Id="rId2" Type="http://schemas.openxmlformats.org/officeDocument/2006/relationships/printerSettings" Target="../printerSettings/printerSettings50.bin"/><Relationship Id="rId1" Type="http://schemas.openxmlformats.org/officeDocument/2006/relationships/hyperlink" Target="mailto:pediatrie.delastre-roussel@ch-voiron.fr" TargetMode="External"/></Relationships>
</file>

<file path=xl/worksheets/_rels/sheet5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1" Type="http://schemas.openxmlformats.org/officeDocument/2006/relationships/hyperlink" Target="mailto:blablabka@chu.fr" TargetMode="External"/></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7.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tabColor rgb="FF00B0F0"/>
  </sheetPr>
  <dimension ref="A1:U26"/>
  <sheetViews>
    <sheetView showGridLines="0" zoomScale="115" zoomScaleNormal="115" workbookViewId="0">
      <selection activeCell="B5" sqref="B5"/>
    </sheetView>
  </sheetViews>
  <sheetFormatPr baseColWidth="10" defaultColWidth="9.140625" defaultRowHeight="15" x14ac:dyDescent="0.25"/>
  <cols>
    <col min="1" max="16" width="8.7109375" style="1" customWidth="1"/>
    <col min="17" max="16384" width="9.140625" style="1"/>
  </cols>
  <sheetData>
    <row r="1" spans="1:16" ht="28.5" x14ac:dyDescent="0.25">
      <c r="A1" s="150"/>
      <c r="B1" s="150"/>
      <c r="C1" s="150"/>
      <c r="D1" s="150"/>
      <c r="E1" s="150"/>
      <c r="F1" s="150"/>
      <c r="G1" s="150"/>
      <c r="H1" s="150"/>
      <c r="I1" s="150"/>
      <c r="J1" s="150"/>
      <c r="K1" s="150"/>
      <c r="L1" s="150"/>
      <c r="M1" s="150"/>
      <c r="N1" s="150"/>
      <c r="O1" s="150"/>
      <c r="P1" s="150"/>
    </row>
    <row r="2" spans="1:16" ht="23.25" customHeight="1" thickBot="1" x14ac:dyDescent="0.3">
      <c r="A2" s="151"/>
      <c r="B2" s="151"/>
      <c r="C2" s="151"/>
      <c r="D2" s="151"/>
      <c r="E2" s="151"/>
      <c r="F2" s="151"/>
      <c r="G2" s="151"/>
      <c r="H2" s="151"/>
      <c r="I2" s="151"/>
      <c r="J2" s="151"/>
      <c r="K2" s="151"/>
      <c r="L2" s="151"/>
      <c r="M2" s="151"/>
      <c r="N2" s="151"/>
      <c r="O2" s="151"/>
      <c r="P2" s="151"/>
    </row>
    <row r="3" spans="1:16" x14ac:dyDescent="0.25">
      <c r="A3" s="2" t="s">
        <v>1</v>
      </c>
      <c r="B3" s="103"/>
      <c r="C3" s="103"/>
      <c r="D3" s="103"/>
      <c r="E3" s="103"/>
      <c r="F3" s="103"/>
      <c r="G3" s="103"/>
      <c r="H3" s="152"/>
      <c r="I3" s="101" t="s">
        <v>6</v>
      </c>
      <c r="J3" s="102"/>
      <c r="K3" s="153"/>
      <c r="L3" s="154"/>
      <c r="M3" s="101" t="s">
        <v>9</v>
      </c>
      <c r="N3" s="102"/>
      <c r="O3" s="102"/>
      <c r="P3" s="137"/>
    </row>
    <row r="4" spans="1:16" x14ac:dyDescent="0.25">
      <c r="A4" s="3" t="s">
        <v>2</v>
      </c>
      <c r="B4" s="119"/>
      <c r="C4" s="119"/>
      <c r="D4" s="119"/>
      <c r="E4" s="119"/>
      <c r="F4" s="119"/>
      <c r="G4" s="119"/>
      <c r="H4" s="141"/>
      <c r="I4" s="142" t="s">
        <v>7</v>
      </c>
      <c r="J4" s="143"/>
      <c r="K4" s="144"/>
      <c r="L4" s="145"/>
      <c r="M4" s="8" t="s">
        <v>10</v>
      </c>
      <c r="N4" s="9" t="s">
        <v>76</v>
      </c>
      <c r="O4" s="143" t="s">
        <v>11</v>
      </c>
      <c r="P4" s="146"/>
    </row>
    <row r="5" spans="1:16" ht="15.75" thickBot="1" x14ac:dyDescent="0.3">
      <c r="A5" s="4" t="s">
        <v>480</v>
      </c>
      <c r="B5" s="71"/>
      <c r="C5" s="5" t="s">
        <v>481</v>
      </c>
      <c r="D5" s="70"/>
      <c r="E5" s="74"/>
      <c r="F5" s="5" t="s">
        <v>12</v>
      </c>
      <c r="G5" s="147"/>
      <c r="H5" s="126"/>
      <c r="I5" s="107" t="s">
        <v>8</v>
      </c>
      <c r="J5" s="108"/>
      <c r="K5" s="148"/>
      <c r="L5" s="149"/>
      <c r="M5" s="11"/>
      <c r="N5" s="10"/>
      <c r="O5" s="148"/>
      <c r="P5" s="149"/>
    </row>
    <row r="6" spans="1:16" ht="15.75" thickBot="1" x14ac:dyDescent="0.3">
      <c r="A6" s="12"/>
      <c r="B6" s="12"/>
      <c r="C6" s="12"/>
      <c r="D6" s="12"/>
      <c r="E6" s="12"/>
      <c r="F6" s="12"/>
      <c r="G6" s="12"/>
      <c r="H6" s="12"/>
      <c r="I6" s="12"/>
      <c r="J6" s="12"/>
      <c r="K6" s="12"/>
      <c r="L6" s="12"/>
      <c r="M6" s="12"/>
      <c r="N6" s="12"/>
      <c r="O6" s="12"/>
      <c r="P6" s="12"/>
    </row>
    <row r="7" spans="1:16" ht="15.75" thickBot="1" x14ac:dyDescent="0.3">
      <c r="A7" s="138" t="s">
        <v>31</v>
      </c>
      <c r="B7" s="139"/>
      <c r="C7" s="131"/>
      <c r="D7" s="131"/>
      <c r="E7" s="131"/>
      <c r="F7" s="131"/>
      <c r="G7" s="139" t="s">
        <v>32</v>
      </c>
      <c r="H7" s="139"/>
      <c r="I7" s="140"/>
      <c r="J7" s="140"/>
      <c r="K7" s="140"/>
      <c r="L7" s="139" t="s">
        <v>33</v>
      </c>
      <c r="M7" s="139"/>
      <c r="N7" s="131"/>
      <c r="O7" s="131"/>
      <c r="P7" s="132"/>
    </row>
    <row r="8" spans="1:16" ht="15.75" thickBot="1" x14ac:dyDescent="0.3">
      <c r="A8" s="133"/>
      <c r="B8" s="133"/>
      <c r="C8" s="133"/>
      <c r="D8" s="133"/>
      <c r="E8" s="133"/>
      <c r="F8" s="133"/>
      <c r="G8" s="133"/>
      <c r="H8" s="133"/>
      <c r="I8" s="133"/>
      <c r="J8" s="133"/>
      <c r="K8" s="133"/>
      <c r="L8" s="133"/>
      <c r="M8" s="133"/>
      <c r="N8" s="133"/>
      <c r="O8" s="133"/>
      <c r="P8" s="133"/>
    </row>
    <row r="9" spans="1:16" ht="15.75" thickBot="1" x14ac:dyDescent="0.3">
      <c r="A9" s="111" t="s">
        <v>13</v>
      </c>
      <c r="B9" s="112"/>
      <c r="C9" s="112"/>
      <c r="D9" s="112"/>
      <c r="E9" s="112"/>
      <c r="F9" s="112"/>
      <c r="G9" s="112"/>
      <c r="H9" s="112"/>
      <c r="I9" s="112"/>
      <c r="J9" s="112"/>
      <c r="K9" s="112"/>
      <c r="L9" s="112"/>
      <c r="M9" s="112"/>
      <c r="N9" s="112"/>
      <c r="O9" s="112"/>
      <c r="P9" s="113"/>
    </row>
    <row r="10" spans="1:16" s="6" customFormat="1" x14ac:dyDescent="0.25">
      <c r="A10" s="134" t="s">
        <v>1</v>
      </c>
      <c r="B10" s="135"/>
      <c r="C10" s="135" t="s">
        <v>3</v>
      </c>
      <c r="D10" s="135"/>
      <c r="E10" s="135" t="s">
        <v>4</v>
      </c>
      <c r="F10" s="135"/>
      <c r="G10" s="104" t="s">
        <v>20</v>
      </c>
      <c r="H10" s="105"/>
      <c r="I10" s="104" t="s">
        <v>21</v>
      </c>
      <c r="J10" s="136"/>
      <c r="K10" s="102" t="s">
        <v>5</v>
      </c>
      <c r="L10" s="102"/>
      <c r="M10" s="102"/>
      <c r="N10" s="102"/>
      <c r="O10" s="102"/>
      <c r="P10" s="137"/>
    </row>
    <row r="11" spans="1:16" x14ac:dyDescent="0.25">
      <c r="A11" s="118"/>
      <c r="B11" s="119"/>
      <c r="C11" s="119"/>
      <c r="D11" s="119"/>
      <c r="E11" s="119"/>
      <c r="F11" s="119"/>
      <c r="G11" s="120"/>
      <c r="H11" s="121"/>
      <c r="I11" s="120"/>
      <c r="J11" s="122"/>
      <c r="K11" s="129"/>
      <c r="L11" s="129"/>
      <c r="M11" s="129"/>
      <c r="N11" s="129"/>
      <c r="O11" s="129"/>
      <c r="P11" s="130"/>
    </row>
    <row r="12" spans="1:16" x14ac:dyDescent="0.25">
      <c r="A12" s="118"/>
      <c r="B12" s="119"/>
      <c r="C12" s="119"/>
      <c r="D12" s="119"/>
      <c r="E12" s="119"/>
      <c r="F12" s="119"/>
      <c r="G12" s="120"/>
      <c r="H12" s="121"/>
      <c r="I12" s="120"/>
      <c r="J12" s="122"/>
      <c r="K12" s="123"/>
      <c r="L12" s="123"/>
      <c r="M12" s="123"/>
      <c r="N12" s="123"/>
      <c r="O12" s="123"/>
      <c r="P12" s="124"/>
    </row>
    <row r="13" spans="1:16" x14ac:dyDescent="0.25">
      <c r="A13" s="118"/>
      <c r="B13" s="119"/>
      <c r="C13" s="119"/>
      <c r="D13" s="119"/>
      <c r="E13" s="119"/>
      <c r="F13" s="119"/>
      <c r="G13" s="120"/>
      <c r="H13" s="121"/>
      <c r="I13" s="120"/>
      <c r="J13" s="122"/>
      <c r="K13" s="123"/>
      <c r="L13" s="123"/>
      <c r="M13" s="123"/>
      <c r="N13" s="123"/>
      <c r="O13" s="123"/>
      <c r="P13" s="124"/>
    </row>
    <row r="14" spans="1:16" x14ac:dyDescent="0.25">
      <c r="A14" s="118"/>
      <c r="B14" s="119"/>
      <c r="C14" s="119"/>
      <c r="D14" s="119"/>
      <c r="E14" s="119"/>
      <c r="F14" s="119"/>
      <c r="G14" s="120"/>
      <c r="H14" s="121"/>
      <c r="I14" s="120"/>
      <c r="J14" s="122"/>
      <c r="K14" s="123"/>
      <c r="L14" s="123"/>
      <c r="M14" s="123"/>
      <c r="N14" s="123"/>
      <c r="O14" s="123"/>
      <c r="P14" s="124"/>
    </row>
    <row r="15" spans="1:16" x14ac:dyDescent="0.25">
      <c r="A15" s="118"/>
      <c r="B15" s="119"/>
      <c r="C15" s="119"/>
      <c r="D15" s="119"/>
      <c r="E15" s="119"/>
      <c r="F15" s="119"/>
      <c r="G15" s="120"/>
      <c r="H15" s="121"/>
      <c r="I15" s="120"/>
      <c r="J15" s="122"/>
      <c r="K15" s="123"/>
      <c r="L15" s="123"/>
      <c r="M15" s="123"/>
      <c r="N15" s="123"/>
      <c r="O15" s="123"/>
      <c r="P15" s="124"/>
    </row>
    <row r="16" spans="1:16" ht="15.75" thickBot="1" x14ac:dyDescent="0.3">
      <c r="A16" s="125"/>
      <c r="B16" s="109"/>
      <c r="C16" s="109"/>
      <c r="D16" s="109"/>
      <c r="E16" s="109"/>
      <c r="F16" s="109"/>
      <c r="G16" s="126"/>
      <c r="H16" s="127"/>
      <c r="I16" s="126"/>
      <c r="J16" s="128"/>
      <c r="K16" s="116"/>
      <c r="L16" s="116"/>
      <c r="M16" s="116"/>
      <c r="N16" s="116"/>
      <c r="O16" s="116"/>
      <c r="P16" s="117"/>
    </row>
    <row r="17" spans="1:21" ht="15.75" thickBot="1" x14ac:dyDescent="0.3">
      <c r="A17" s="100"/>
      <c r="B17" s="100"/>
      <c r="C17" s="100"/>
      <c r="D17" s="100"/>
      <c r="E17" s="100"/>
      <c r="F17" s="100"/>
      <c r="G17" s="100"/>
      <c r="H17" s="100"/>
      <c r="I17" s="100"/>
      <c r="J17" s="100"/>
      <c r="K17" s="100"/>
      <c r="L17" s="100"/>
      <c r="M17" s="100"/>
      <c r="N17" s="100"/>
      <c r="O17" s="100"/>
      <c r="P17" s="100"/>
    </row>
    <row r="18" spans="1:21" x14ac:dyDescent="0.25">
      <c r="A18" s="101" t="s">
        <v>23</v>
      </c>
      <c r="B18" s="102"/>
      <c r="C18" s="102"/>
      <c r="D18" s="103"/>
      <c r="E18" s="103"/>
      <c r="F18" s="103"/>
      <c r="G18" s="103"/>
      <c r="H18" s="103"/>
      <c r="I18" s="103"/>
      <c r="J18" s="104" t="s">
        <v>25</v>
      </c>
      <c r="K18" s="105"/>
      <c r="L18" s="103"/>
      <c r="M18" s="103"/>
      <c r="N18" s="103"/>
      <c r="O18" s="103"/>
      <c r="P18" s="106"/>
    </row>
    <row r="19" spans="1:21" ht="15.75" thickBot="1" x14ac:dyDescent="0.3">
      <c r="A19" s="107" t="s">
        <v>24</v>
      </c>
      <c r="B19" s="108"/>
      <c r="C19" s="108"/>
      <c r="D19" s="109"/>
      <c r="E19" s="109"/>
      <c r="F19" s="109"/>
      <c r="G19" s="109"/>
      <c r="H19" s="109"/>
      <c r="I19" s="109"/>
      <c r="J19" s="108" t="s">
        <v>26</v>
      </c>
      <c r="K19" s="108"/>
      <c r="L19" s="109"/>
      <c r="M19" s="109"/>
      <c r="N19" s="109"/>
      <c r="O19" s="109"/>
      <c r="P19" s="110"/>
    </row>
    <row r="20" spans="1:21" ht="15.75" thickBot="1" x14ac:dyDescent="0.3">
      <c r="A20" s="100"/>
      <c r="B20" s="100"/>
      <c r="C20" s="100"/>
      <c r="D20" s="100"/>
      <c r="E20" s="100"/>
      <c r="F20" s="100"/>
      <c r="G20" s="100"/>
      <c r="H20" s="100"/>
      <c r="I20" s="100"/>
      <c r="J20" s="100"/>
      <c r="K20" s="100"/>
      <c r="L20" s="100"/>
      <c r="M20" s="100"/>
      <c r="N20" s="100"/>
      <c r="O20" s="100"/>
      <c r="P20" s="100"/>
    </row>
    <row r="21" spans="1:21" ht="15.75" thickBot="1" x14ac:dyDescent="0.3">
      <c r="A21" s="111" t="s">
        <v>27</v>
      </c>
      <c r="B21" s="112"/>
      <c r="C21" s="112" t="s">
        <v>28</v>
      </c>
      <c r="D21" s="112"/>
      <c r="E21" s="112"/>
      <c r="F21" s="112"/>
      <c r="G21" s="112"/>
      <c r="H21" s="112"/>
      <c r="I21" s="112"/>
      <c r="J21" s="112"/>
      <c r="K21" s="112"/>
      <c r="L21" s="112"/>
      <c r="M21" s="112"/>
      <c r="N21" s="112"/>
      <c r="O21" s="112"/>
      <c r="P21" s="113"/>
      <c r="Q21" s="7"/>
      <c r="R21" s="7"/>
      <c r="S21" s="7"/>
      <c r="T21" s="7"/>
      <c r="U21" s="7"/>
    </row>
    <row r="22" spans="1:21" ht="30" customHeight="1" x14ac:dyDescent="0.25">
      <c r="A22" s="114"/>
      <c r="B22" s="115"/>
      <c r="C22" s="91"/>
      <c r="D22" s="91"/>
      <c r="E22" s="91"/>
      <c r="F22" s="91"/>
      <c r="G22" s="91"/>
      <c r="H22" s="91"/>
      <c r="I22" s="91"/>
      <c r="J22" s="91"/>
      <c r="K22" s="91"/>
      <c r="L22" s="91"/>
      <c r="M22" s="91"/>
      <c r="N22" s="91"/>
      <c r="O22" s="91"/>
      <c r="P22" s="92"/>
      <c r="Q22" s="7"/>
      <c r="R22" s="7"/>
      <c r="S22" s="7"/>
      <c r="T22" s="7"/>
      <c r="U22" s="7"/>
    </row>
    <row r="23" spans="1:21" ht="30" customHeight="1" x14ac:dyDescent="0.25">
      <c r="A23" s="89"/>
      <c r="B23" s="90"/>
      <c r="C23" s="97"/>
      <c r="D23" s="98"/>
      <c r="E23" s="98"/>
      <c r="F23" s="98"/>
      <c r="G23" s="98"/>
      <c r="H23" s="98"/>
      <c r="I23" s="98"/>
      <c r="J23" s="98"/>
      <c r="K23" s="98"/>
      <c r="L23" s="98"/>
      <c r="M23" s="98"/>
      <c r="N23" s="98"/>
      <c r="O23" s="98"/>
      <c r="P23" s="99"/>
      <c r="Q23" s="7"/>
      <c r="R23" s="7"/>
      <c r="S23" s="7"/>
      <c r="T23" s="7"/>
      <c r="U23" s="7"/>
    </row>
    <row r="24" spans="1:21" ht="30" customHeight="1" x14ac:dyDescent="0.25">
      <c r="A24" s="89"/>
      <c r="B24" s="90"/>
      <c r="C24" s="91"/>
      <c r="D24" s="91"/>
      <c r="E24" s="91"/>
      <c r="F24" s="91"/>
      <c r="G24" s="91"/>
      <c r="H24" s="91"/>
      <c r="I24" s="91"/>
      <c r="J24" s="91"/>
      <c r="K24" s="91"/>
      <c r="L24" s="91"/>
      <c r="M24" s="91"/>
      <c r="N24" s="91"/>
      <c r="O24" s="91"/>
      <c r="P24" s="92"/>
      <c r="Q24" s="7"/>
      <c r="R24" s="7"/>
      <c r="S24" s="7"/>
      <c r="T24" s="7"/>
      <c r="U24" s="7"/>
    </row>
    <row r="25" spans="1:21" ht="30" customHeight="1" x14ac:dyDescent="0.25">
      <c r="A25" s="89"/>
      <c r="B25" s="90"/>
      <c r="C25" s="91"/>
      <c r="D25" s="91"/>
      <c r="E25" s="91"/>
      <c r="F25" s="91"/>
      <c r="G25" s="91"/>
      <c r="H25" s="91"/>
      <c r="I25" s="91"/>
      <c r="J25" s="91"/>
      <c r="K25" s="91"/>
      <c r="L25" s="91"/>
      <c r="M25" s="91"/>
      <c r="N25" s="91"/>
      <c r="O25" s="91"/>
      <c r="P25" s="92"/>
    </row>
    <row r="26" spans="1:21" ht="30" customHeight="1" thickBot="1" x14ac:dyDescent="0.3">
      <c r="A26" s="93"/>
      <c r="B26" s="94"/>
      <c r="C26" s="95"/>
      <c r="D26" s="95"/>
      <c r="E26" s="95"/>
      <c r="F26" s="95"/>
      <c r="G26" s="95"/>
      <c r="H26" s="95"/>
      <c r="I26" s="95"/>
      <c r="J26" s="95"/>
      <c r="K26" s="95"/>
      <c r="L26" s="95"/>
      <c r="M26" s="95"/>
      <c r="N26" s="95"/>
      <c r="O26" s="95"/>
      <c r="P26" s="96"/>
    </row>
  </sheetData>
  <mergeCells count="86">
    <mergeCell ref="A1:P1"/>
    <mergeCell ref="A2:P2"/>
    <mergeCell ref="B3:H3"/>
    <mergeCell ref="I3:J3"/>
    <mergeCell ref="K3:L3"/>
    <mergeCell ref="M3:P3"/>
    <mergeCell ref="B4:H4"/>
    <mergeCell ref="I4:J4"/>
    <mergeCell ref="K4:L4"/>
    <mergeCell ref="O4:P4"/>
    <mergeCell ref="G5:H5"/>
    <mergeCell ref="I5:J5"/>
    <mergeCell ref="K5:L5"/>
    <mergeCell ref="O5:P5"/>
    <mergeCell ref="N7:P7"/>
    <mergeCell ref="A8:P8"/>
    <mergeCell ref="A9:P9"/>
    <mergeCell ref="A10:B10"/>
    <mergeCell ref="C10:D10"/>
    <mergeCell ref="E10:F10"/>
    <mergeCell ref="G10:H10"/>
    <mergeCell ref="I10:J10"/>
    <mergeCell ref="K10:P10"/>
    <mergeCell ref="A7:B7"/>
    <mergeCell ref="C7:F7"/>
    <mergeCell ref="G7:H7"/>
    <mergeCell ref="I7:K7"/>
    <mergeCell ref="L7:M7"/>
    <mergeCell ref="K12:P12"/>
    <mergeCell ref="A11:B11"/>
    <mergeCell ref="C11:D11"/>
    <mergeCell ref="E11:F11"/>
    <mergeCell ref="G11:H11"/>
    <mergeCell ref="I11:J11"/>
    <mergeCell ref="K11:P11"/>
    <mergeCell ref="A12:B12"/>
    <mergeCell ref="C12:D12"/>
    <mergeCell ref="E12:F12"/>
    <mergeCell ref="G12:H12"/>
    <mergeCell ref="I12:J12"/>
    <mergeCell ref="K14:P14"/>
    <mergeCell ref="A13:B13"/>
    <mergeCell ref="C13:D13"/>
    <mergeCell ref="E13:F13"/>
    <mergeCell ref="G13:H13"/>
    <mergeCell ref="I13:J13"/>
    <mergeCell ref="K13:P13"/>
    <mergeCell ref="A14:B14"/>
    <mergeCell ref="C14:D14"/>
    <mergeCell ref="E14:F14"/>
    <mergeCell ref="G14:H14"/>
    <mergeCell ref="I14:J14"/>
    <mergeCell ref="K16:P16"/>
    <mergeCell ref="A15:B15"/>
    <mergeCell ref="C15:D15"/>
    <mergeCell ref="E15:F15"/>
    <mergeCell ref="G15:H15"/>
    <mergeCell ref="I15:J15"/>
    <mergeCell ref="K15:P15"/>
    <mergeCell ref="A16:B16"/>
    <mergeCell ref="C16:D16"/>
    <mergeCell ref="E16:F16"/>
    <mergeCell ref="G16:H16"/>
    <mergeCell ref="I16:J16"/>
    <mergeCell ref="A23:B23"/>
    <mergeCell ref="C23:P23"/>
    <mergeCell ref="A17:P17"/>
    <mergeCell ref="A18:C18"/>
    <mergeCell ref="D18:I18"/>
    <mergeCell ref="J18:K18"/>
    <mergeCell ref="L18:P18"/>
    <mergeCell ref="A19:C19"/>
    <mergeCell ref="D19:I19"/>
    <mergeCell ref="J19:K19"/>
    <mergeCell ref="L19:P19"/>
    <mergeCell ref="A20:P20"/>
    <mergeCell ref="A21:B21"/>
    <mergeCell ref="C21:P21"/>
    <mergeCell ref="A22:B22"/>
    <mergeCell ref="C22:P22"/>
    <mergeCell ref="A24:B24"/>
    <mergeCell ref="C24:P24"/>
    <mergeCell ref="A25:B25"/>
    <mergeCell ref="C25:P25"/>
    <mergeCell ref="A26:B26"/>
    <mergeCell ref="C26:P26"/>
  </mergeCells>
  <pageMargins left="0.25" right="0.25" top="0.75" bottom="0.75" header="0.3" footer="0.3"/>
  <pageSetup paperSize="9" orientation="landscape"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U26"/>
  <sheetViews>
    <sheetView zoomScale="115" zoomScaleNormal="115" workbookViewId="0">
      <selection activeCell="T6" sqref="T6"/>
    </sheetView>
  </sheetViews>
  <sheetFormatPr baseColWidth="10" defaultColWidth="9.140625" defaultRowHeight="15" x14ac:dyDescent="0.25"/>
  <cols>
    <col min="1" max="16" width="8.7109375" style="1" customWidth="1"/>
    <col min="17" max="16384" width="9.140625" style="1"/>
  </cols>
  <sheetData>
    <row r="1" spans="1:16" ht="28.5" x14ac:dyDescent="0.25">
      <c r="A1" s="150" t="s">
        <v>35</v>
      </c>
      <c r="B1" s="150"/>
      <c r="C1" s="150"/>
      <c r="D1" s="150"/>
      <c r="E1" s="150"/>
      <c r="F1" s="150"/>
      <c r="G1" s="150"/>
      <c r="H1" s="150"/>
      <c r="I1" s="150"/>
      <c r="J1" s="150"/>
      <c r="K1" s="150"/>
      <c r="L1" s="150"/>
      <c r="M1" s="150"/>
      <c r="N1" s="150"/>
      <c r="O1" s="150"/>
      <c r="P1" s="150"/>
    </row>
    <row r="2" spans="1:16" ht="23.25" customHeight="1" thickBot="1" x14ac:dyDescent="0.3">
      <c r="A2" s="151"/>
      <c r="B2" s="151"/>
      <c r="C2" s="151"/>
      <c r="D2" s="151"/>
      <c r="E2" s="151"/>
      <c r="F2" s="151"/>
      <c r="G2" s="151"/>
      <c r="H2" s="151"/>
      <c r="I2" s="151"/>
      <c r="J2" s="151"/>
      <c r="K2" s="151"/>
      <c r="L2" s="151"/>
      <c r="M2" s="151"/>
      <c r="N2" s="151"/>
      <c r="O2" s="151"/>
      <c r="P2" s="151"/>
    </row>
    <row r="3" spans="1:16" x14ac:dyDescent="0.25">
      <c r="A3" s="2" t="s">
        <v>1</v>
      </c>
      <c r="B3" s="103" t="s">
        <v>34</v>
      </c>
      <c r="C3" s="103"/>
      <c r="D3" s="103"/>
      <c r="E3" s="103"/>
      <c r="F3" s="103"/>
      <c r="G3" s="103"/>
      <c r="H3" s="152"/>
      <c r="I3" s="101" t="s">
        <v>6</v>
      </c>
      <c r="J3" s="102"/>
      <c r="K3" s="153" t="s">
        <v>37</v>
      </c>
      <c r="L3" s="154"/>
      <c r="M3" s="101" t="s">
        <v>9</v>
      </c>
      <c r="N3" s="102"/>
      <c r="O3" s="102"/>
      <c r="P3" s="137"/>
    </row>
    <row r="4" spans="1:16" x14ac:dyDescent="0.25">
      <c r="A4" s="3" t="s">
        <v>2</v>
      </c>
      <c r="B4" s="119" t="s">
        <v>36</v>
      </c>
      <c r="C4" s="119"/>
      <c r="D4" s="119"/>
      <c r="E4" s="119"/>
      <c r="F4" s="119"/>
      <c r="G4" s="119"/>
      <c r="H4" s="141"/>
      <c r="I4" s="142" t="s">
        <v>7</v>
      </c>
      <c r="J4" s="143"/>
      <c r="K4" s="144">
        <v>12</v>
      </c>
      <c r="L4" s="145"/>
      <c r="M4" s="142" t="s">
        <v>10</v>
      </c>
      <c r="N4" s="143"/>
      <c r="O4" s="143" t="s">
        <v>11</v>
      </c>
      <c r="P4" s="146"/>
    </row>
    <row r="5" spans="1:16" ht="15.75" thickBot="1" x14ac:dyDescent="0.3">
      <c r="A5" s="4" t="s">
        <v>480</v>
      </c>
      <c r="B5" s="71">
        <v>47923</v>
      </c>
      <c r="C5" s="5" t="s">
        <v>481</v>
      </c>
      <c r="D5" s="70" t="s">
        <v>489</v>
      </c>
      <c r="E5" s="74"/>
      <c r="F5" s="5" t="s">
        <v>12</v>
      </c>
      <c r="G5" s="147">
        <v>553697071</v>
      </c>
      <c r="H5" s="126"/>
      <c r="I5" s="107" t="s">
        <v>8</v>
      </c>
      <c r="J5" s="108"/>
      <c r="K5" s="148">
        <v>150</v>
      </c>
      <c r="L5" s="149"/>
      <c r="M5" s="157" t="s">
        <v>30</v>
      </c>
      <c r="N5" s="148"/>
      <c r="O5" s="148">
        <v>144</v>
      </c>
      <c r="P5" s="149"/>
    </row>
    <row r="6" spans="1:16" ht="15.75" thickBot="1" x14ac:dyDescent="0.3">
      <c r="A6" s="12"/>
      <c r="B6" s="12"/>
      <c r="C6" s="12"/>
      <c r="D6" s="12"/>
      <c r="E6" s="12"/>
      <c r="F6" s="12"/>
      <c r="G6" s="12"/>
      <c r="H6" s="12"/>
      <c r="I6" s="12"/>
      <c r="J6" s="12"/>
      <c r="K6" s="12"/>
      <c r="L6" s="12"/>
      <c r="M6" s="12"/>
      <c r="N6" s="12"/>
      <c r="O6" s="12"/>
      <c r="P6" s="12"/>
    </row>
    <row r="7" spans="1:16" ht="15.75" thickBot="1" x14ac:dyDescent="0.3">
      <c r="A7" s="138" t="s">
        <v>31</v>
      </c>
      <c r="B7" s="139"/>
      <c r="C7" s="131" t="s">
        <v>30</v>
      </c>
      <c r="D7" s="131"/>
      <c r="E7" s="131"/>
      <c r="F7" s="131"/>
      <c r="G7" s="139" t="s">
        <v>32</v>
      </c>
      <c r="H7" s="139"/>
      <c r="I7" s="140" t="s">
        <v>30</v>
      </c>
      <c r="J7" s="140"/>
      <c r="K7" s="140"/>
      <c r="L7" s="139" t="s">
        <v>33</v>
      </c>
      <c r="M7" s="139"/>
      <c r="N7" s="131" t="s">
        <v>30</v>
      </c>
      <c r="O7" s="131"/>
      <c r="P7" s="132"/>
    </row>
    <row r="8" spans="1:16" ht="15.75" thickBot="1" x14ac:dyDescent="0.3">
      <c r="A8" s="133"/>
      <c r="B8" s="133"/>
      <c r="C8" s="133"/>
      <c r="D8" s="133"/>
      <c r="E8" s="133"/>
      <c r="F8" s="133"/>
      <c r="G8" s="133"/>
      <c r="H8" s="133"/>
      <c r="I8" s="133"/>
      <c r="J8" s="133"/>
      <c r="K8" s="133"/>
      <c r="L8" s="133"/>
      <c r="M8" s="133"/>
      <c r="N8" s="133"/>
      <c r="O8" s="133"/>
      <c r="P8" s="133"/>
    </row>
    <row r="9" spans="1:16" ht="15.75" thickBot="1" x14ac:dyDescent="0.3">
      <c r="A9" s="111" t="s">
        <v>13</v>
      </c>
      <c r="B9" s="112"/>
      <c r="C9" s="112"/>
      <c r="D9" s="112"/>
      <c r="E9" s="112"/>
      <c r="F9" s="112"/>
      <c r="G9" s="112"/>
      <c r="H9" s="112"/>
      <c r="I9" s="112"/>
      <c r="J9" s="112"/>
      <c r="K9" s="112"/>
      <c r="L9" s="112"/>
      <c r="M9" s="112"/>
      <c r="N9" s="112"/>
      <c r="O9" s="112"/>
      <c r="P9" s="113"/>
    </row>
    <row r="10" spans="1:16" s="6" customFormat="1" x14ac:dyDescent="0.25">
      <c r="A10" s="134" t="s">
        <v>1</v>
      </c>
      <c r="B10" s="135"/>
      <c r="C10" s="135" t="s">
        <v>3</v>
      </c>
      <c r="D10" s="135"/>
      <c r="E10" s="135" t="s">
        <v>4</v>
      </c>
      <c r="F10" s="135"/>
      <c r="G10" s="104" t="s">
        <v>20</v>
      </c>
      <c r="H10" s="105"/>
      <c r="I10" s="104" t="s">
        <v>21</v>
      </c>
      <c r="J10" s="136"/>
      <c r="K10" s="102" t="s">
        <v>5</v>
      </c>
      <c r="L10" s="102"/>
      <c r="M10" s="102"/>
      <c r="N10" s="102"/>
      <c r="O10" s="102"/>
      <c r="P10" s="137"/>
    </row>
    <row r="11" spans="1:16" x14ac:dyDescent="0.25">
      <c r="A11" s="118" t="s">
        <v>38</v>
      </c>
      <c r="B11" s="119"/>
      <c r="C11" s="119" t="s">
        <v>39</v>
      </c>
      <c r="D11" s="119"/>
      <c r="E11" s="119" t="s">
        <v>40</v>
      </c>
      <c r="F11" s="119"/>
      <c r="G11" s="120">
        <v>553697380</v>
      </c>
      <c r="H11" s="121"/>
      <c r="I11" s="120"/>
      <c r="J11" s="122"/>
      <c r="K11" s="129" t="s">
        <v>41</v>
      </c>
      <c r="L11" s="129"/>
      <c r="M11" s="129"/>
      <c r="N11" s="129"/>
      <c r="O11" s="129"/>
      <c r="P11" s="130"/>
    </row>
    <row r="12" spans="1:16" x14ac:dyDescent="0.25">
      <c r="A12" s="118"/>
      <c r="B12" s="119"/>
      <c r="C12" s="119"/>
      <c r="D12" s="119"/>
      <c r="E12" s="119"/>
      <c r="F12" s="119"/>
      <c r="G12" s="120"/>
      <c r="H12" s="121"/>
      <c r="I12" s="120"/>
      <c r="J12" s="122"/>
      <c r="K12" s="123"/>
      <c r="L12" s="123"/>
      <c r="M12" s="123"/>
      <c r="N12" s="123"/>
      <c r="O12" s="123"/>
      <c r="P12" s="124"/>
    </row>
    <row r="13" spans="1:16" x14ac:dyDescent="0.25">
      <c r="A13" s="118"/>
      <c r="B13" s="119"/>
      <c r="C13" s="119"/>
      <c r="D13" s="119"/>
      <c r="E13" s="119"/>
      <c r="F13" s="119"/>
      <c r="G13" s="120"/>
      <c r="H13" s="121"/>
      <c r="I13" s="120"/>
      <c r="J13" s="122"/>
      <c r="K13" s="123"/>
      <c r="L13" s="123"/>
      <c r="M13" s="123"/>
      <c r="N13" s="123"/>
      <c r="O13" s="123"/>
      <c r="P13" s="124"/>
    </row>
    <row r="14" spans="1:16" x14ac:dyDescent="0.25">
      <c r="A14" s="118"/>
      <c r="B14" s="119"/>
      <c r="C14" s="119"/>
      <c r="D14" s="119"/>
      <c r="E14" s="119"/>
      <c r="F14" s="119"/>
      <c r="G14" s="120"/>
      <c r="H14" s="121"/>
      <c r="I14" s="120"/>
      <c r="J14" s="122"/>
      <c r="K14" s="123"/>
      <c r="L14" s="123"/>
      <c r="M14" s="123"/>
      <c r="N14" s="123"/>
      <c r="O14" s="123"/>
      <c r="P14" s="124"/>
    </row>
    <row r="15" spans="1:16" x14ac:dyDescent="0.25">
      <c r="A15" s="118"/>
      <c r="B15" s="119"/>
      <c r="C15" s="119"/>
      <c r="D15" s="119"/>
      <c r="E15" s="119"/>
      <c r="F15" s="119"/>
      <c r="G15" s="120"/>
      <c r="H15" s="121"/>
      <c r="I15" s="120"/>
      <c r="J15" s="122"/>
      <c r="K15" s="123"/>
      <c r="L15" s="123"/>
      <c r="M15" s="123"/>
      <c r="N15" s="123"/>
      <c r="O15" s="123"/>
      <c r="P15" s="124"/>
    </row>
    <row r="16" spans="1:16" ht="15.75" thickBot="1" x14ac:dyDescent="0.3">
      <c r="A16" s="125"/>
      <c r="B16" s="109"/>
      <c r="C16" s="109"/>
      <c r="D16" s="109"/>
      <c r="E16" s="109"/>
      <c r="F16" s="109"/>
      <c r="G16" s="126"/>
      <c r="H16" s="127"/>
      <c r="I16" s="126"/>
      <c r="J16" s="128"/>
      <c r="K16" s="116"/>
      <c r="L16" s="116"/>
      <c r="M16" s="116"/>
      <c r="N16" s="116"/>
      <c r="O16" s="116"/>
      <c r="P16" s="117"/>
    </row>
    <row r="17" spans="1:21" ht="15.75" thickBot="1" x14ac:dyDescent="0.3">
      <c r="A17" s="100"/>
      <c r="B17" s="100"/>
      <c r="C17" s="100"/>
      <c r="D17" s="100"/>
      <c r="E17" s="100"/>
      <c r="F17" s="100"/>
      <c r="G17" s="100"/>
      <c r="H17" s="100"/>
      <c r="I17" s="100"/>
      <c r="J17" s="100"/>
      <c r="K17" s="100"/>
      <c r="L17" s="100"/>
      <c r="M17" s="100"/>
      <c r="N17" s="100"/>
      <c r="O17" s="100"/>
      <c r="P17" s="100"/>
    </row>
    <row r="18" spans="1:21" x14ac:dyDescent="0.25">
      <c r="A18" s="101" t="s">
        <v>23</v>
      </c>
      <c r="B18" s="102"/>
      <c r="C18" s="102"/>
      <c r="D18" s="103" t="s">
        <v>42</v>
      </c>
      <c r="E18" s="103"/>
      <c r="F18" s="103"/>
      <c r="G18" s="103"/>
      <c r="H18" s="103"/>
      <c r="I18" s="103"/>
      <c r="J18" s="104" t="s">
        <v>25</v>
      </c>
      <c r="K18" s="105"/>
      <c r="L18" s="103" t="s">
        <v>16</v>
      </c>
      <c r="M18" s="103"/>
      <c r="N18" s="103"/>
      <c r="O18" s="103"/>
      <c r="P18" s="106"/>
    </row>
    <row r="19" spans="1:21" ht="15.75" thickBot="1" x14ac:dyDescent="0.3">
      <c r="A19" s="107" t="s">
        <v>24</v>
      </c>
      <c r="B19" s="108"/>
      <c r="C19" s="108"/>
      <c r="D19" s="109">
        <v>553697380</v>
      </c>
      <c r="E19" s="109"/>
      <c r="F19" s="109"/>
      <c r="G19" s="109"/>
      <c r="H19" s="109"/>
      <c r="I19" s="109"/>
      <c r="J19" s="108" t="s">
        <v>26</v>
      </c>
      <c r="K19" s="108"/>
      <c r="L19" s="109" t="s">
        <v>43</v>
      </c>
      <c r="M19" s="109"/>
      <c r="N19" s="109"/>
      <c r="O19" s="109"/>
      <c r="P19" s="110"/>
    </row>
    <row r="20" spans="1:21" ht="15.75" thickBot="1" x14ac:dyDescent="0.3">
      <c r="A20" s="100"/>
      <c r="B20" s="100"/>
      <c r="C20" s="100"/>
      <c r="D20" s="100"/>
      <c r="E20" s="100"/>
      <c r="F20" s="100"/>
      <c r="G20" s="100"/>
      <c r="H20" s="100"/>
      <c r="I20" s="100"/>
      <c r="J20" s="100"/>
      <c r="K20" s="100"/>
      <c r="L20" s="100"/>
      <c r="M20" s="100"/>
      <c r="N20" s="100"/>
      <c r="O20" s="100"/>
      <c r="P20" s="100"/>
    </row>
    <row r="21" spans="1:21" ht="15.75" thickBot="1" x14ac:dyDescent="0.3">
      <c r="A21" s="111" t="s">
        <v>27</v>
      </c>
      <c r="B21" s="112"/>
      <c r="C21" s="112" t="s">
        <v>28</v>
      </c>
      <c r="D21" s="112"/>
      <c r="E21" s="112"/>
      <c r="F21" s="112"/>
      <c r="G21" s="112"/>
      <c r="H21" s="112"/>
      <c r="I21" s="112"/>
      <c r="J21" s="112"/>
      <c r="K21" s="112"/>
      <c r="L21" s="112"/>
      <c r="M21" s="112"/>
      <c r="N21" s="112"/>
      <c r="O21" s="112"/>
      <c r="P21" s="113"/>
      <c r="Q21" s="7"/>
      <c r="R21" s="7"/>
      <c r="S21" s="7"/>
      <c r="T21" s="7"/>
      <c r="U21" s="7"/>
    </row>
    <row r="22" spans="1:21" ht="30" customHeight="1" x14ac:dyDescent="0.25">
      <c r="A22" s="114">
        <v>42109</v>
      </c>
      <c r="B22" s="115"/>
      <c r="C22" s="155" t="s">
        <v>44</v>
      </c>
      <c r="D22" s="155"/>
      <c r="E22" s="155"/>
      <c r="F22" s="155"/>
      <c r="G22" s="155"/>
      <c r="H22" s="155"/>
      <c r="I22" s="155"/>
      <c r="J22" s="155"/>
      <c r="K22" s="155"/>
      <c r="L22" s="155"/>
      <c r="M22" s="155"/>
      <c r="N22" s="155"/>
      <c r="O22" s="155"/>
      <c r="P22" s="156"/>
      <c r="Q22" s="7"/>
      <c r="R22" s="7"/>
      <c r="S22" s="7"/>
      <c r="T22" s="7"/>
      <c r="U22" s="7"/>
    </row>
    <row r="23" spans="1:21" ht="30" customHeight="1" x14ac:dyDescent="0.25">
      <c r="A23" s="89"/>
      <c r="B23" s="90"/>
      <c r="C23" s="91"/>
      <c r="D23" s="91"/>
      <c r="E23" s="91"/>
      <c r="F23" s="91"/>
      <c r="G23" s="91"/>
      <c r="H23" s="91"/>
      <c r="I23" s="91"/>
      <c r="J23" s="91"/>
      <c r="K23" s="91"/>
      <c r="L23" s="91"/>
      <c r="M23" s="91"/>
      <c r="N23" s="91"/>
      <c r="O23" s="91"/>
      <c r="P23" s="92"/>
      <c r="Q23" s="7"/>
      <c r="R23" s="7"/>
      <c r="S23" s="7"/>
      <c r="T23" s="7"/>
      <c r="U23" s="7"/>
    </row>
    <row r="24" spans="1:21" ht="30" customHeight="1" x14ac:dyDescent="0.25">
      <c r="A24" s="89"/>
      <c r="B24" s="90"/>
      <c r="C24" s="91"/>
      <c r="D24" s="91"/>
      <c r="E24" s="91"/>
      <c r="F24" s="91"/>
      <c r="G24" s="91"/>
      <c r="H24" s="91"/>
      <c r="I24" s="91"/>
      <c r="J24" s="91"/>
      <c r="K24" s="91"/>
      <c r="L24" s="91"/>
      <c r="M24" s="91"/>
      <c r="N24" s="91"/>
      <c r="O24" s="91"/>
      <c r="P24" s="92"/>
      <c r="Q24" s="7"/>
      <c r="R24" s="7"/>
      <c r="S24" s="7"/>
      <c r="T24" s="7"/>
      <c r="U24" s="7"/>
    </row>
    <row r="25" spans="1:21" ht="30" customHeight="1" x14ac:dyDescent="0.25">
      <c r="A25" s="89"/>
      <c r="B25" s="90"/>
      <c r="C25" s="91"/>
      <c r="D25" s="91"/>
      <c r="E25" s="91"/>
      <c r="F25" s="91"/>
      <c r="G25" s="91"/>
      <c r="H25" s="91"/>
      <c r="I25" s="91"/>
      <c r="J25" s="91"/>
      <c r="K25" s="91"/>
      <c r="L25" s="91"/>
      <c r="M25" s="91"/>
      <c r="N25" s="91"/>
      <c r="O25" s="91"/>
      <c r="P25" s="92"/>
    </row>
    <row r="26" spans="1:21" ht="30" customHeight="1" thickBot="1" x14ac:dyDescent="0.3">
      <c r="A26" s="93"/>
      <c r="B26" s="94"/>
      <c r="C26" s="95"/>
      <c r="D26" s="95"/>
      <c r="E26" s="95"/>
      <c r="F26" s="95"/>
      <c r="G26" s="95"/>
      <c r="H26" s="95"/>
      <c r="I26" s="95"/>
      <c r="J26" s="95"/>
      <c r="K26" s="95"/>
      <c r="L26" s="95"/>
      <c r="M26" s="95"/>
      <c r="N26" s="95"/>
      <c r="O26" s="95"/>
      <c r="P26" s="96"/>
    </row>
  </sheetData>
  <mergeCells count="88">
    <mergeCell ref="A1:P1"/>
    <mergeCell ref="A2:P2"/>
    <mergeCell ref="B3:H3"/>
    <mergeCell ref="I3:J3"/>
    <mergeCell ref="K3:L3"/>
    <mergeCell ref="M3:P3"/>
    <mergeCell ref="B4:H4"/>
    <mergeCell ref="I4:J4"/>
    <mergeCell ref="K4:L4"/>
    <mergeCell ref="M4:N4"/>
    <mergeCell ref="O4:P4"/>
    <mergeCell ref="O5:P5"/>
    <mergeCell ref="A7:B7"/>
    <mergeCell ref="C7:F7"/>
    <mergeCell ref="G7:H7"/>
    <mergeCell ref="I7:K7"/>
    <mergeCell ref="L7:M7"/>
    <mergeCell ref="N7:P7"/>
    <mergeCell ref="G5:H5"/>
    <mergeCell ref="I5:J5"/>
    <mergeCell ref="K5:L5"/>
    <mergeCell ref="M5:N5"/>
    <mergeCell ref="A8:P8"/>
    <mergeCell ref="A9:P9"/>
    <mergeCell ref="A10:B10"/>
    <mergeCell ref="C10:D10"/>
    <mergeCell ref="E10:F10"/>
    <mergeCell ref="G10:H10"/>
    <mergeCell ref="I10:J10"/>
    <mergeCell ref="K10:P10"/>
    <mergeCell ref="K12:P12"/>
    <mergeCell ref="A11:B11"/>
    <mergeCell ref="C11:D11"/>
    <mergeCell ref="E11:F11"/>
    <mergeCell ref="G11:H11"/>
    <mergeCell ref="I11:J11"/>
    <mergeCell ref="K11:P11"/>
    <mergeCell ref="A12:B12"/>
    <mergeCell ref="C12:D12"/>
    <mergeCell ref="E12:F12"/>
    <mergeCell ref="G12:H12"/>
    <mergeCell ref="I12:J12"/>
    <mergeCell ref="K14:P14"/>
    <mergeCell ref="A13:B13"/>
    <mergeCell ref="C13:D13"/>
    <mergeCell ref="E13:F13"/>
    <mergeCell ref="G13:H13"/>
    <mergeCell ref="I13:J13"/>
    <mergeCell ref="K13:P13"/>
    <mergeCell ref="A14:B14"/>
    <mergeCell ref="C14:D14"/>
    <mergeCell ref="E14:F14"/>
    <mergeCell ref="G14:H14"/>
    <mergeCell ref="I14:J14"/>
    <mergeCell ref="K16:P16"/>
    <mergeCell ref="A15:B15"/>
    <mergeCell ref="C15:D15"/>
    <mergeCell ref="E15:F15"/>
    <mergeCell ref="G15:H15"/>
    <mergeCell ref="I15:J15"/>
    <mergeCell ref="K15:P15"/>
    <mergeCell ref="A16:B16"/>
    <mergeCell ref="C16:D16"/>
    <mergeCell ref="E16:F16"/>
    <mergeCell ref="G16:H16"/>
    <mergeCell ref="I16:J16"/>
    <mergeCell ref="A23:B23"/>
    <mergeCell ref="C23:P23"/>
    <mergeCell ref="A17:P17"/>
    <mergeCell ref="A18:C18"/>
    <mergeCell ref="D18:I18"/>
    <mergeCell ref="J18:K18"/>
    <mergeCell ref="L18:P18"/>
    <mergeCell ref="A19:C19"/>
    <mergeCell ref="D19:I19"/>
    <mergeCell ref="J19:K19"/>
    <mergeCell ref="L19:P19"/>
    <mergeCell ref="A20:P20"/>
    <mergeCell ref="A21:B21"/>
    <mergeCell ref="C21:P21"/>
    <mergeCell ref="A22:B22"/>
    <mergeCell ref="C22:P22"/>
    <mergeCell ref="A24:B24"/>
    <mergeCell ref="C24:P24"/>
    <mergeCell ref="A25:B25"/>
    <mergeCell ref="C25:P25"/>
    <mergeCell ref="A26:B26"/>
    <mergeCell ref="C26:P26"/>
  </mergeCells>
  <hyperlinks>
    <hyperlink ref="K11" r:id="rId1"/>
  </hyperlinks>
  <pageMargins left="0.25" right="0.25" top="0.75" bottom="0.75" header="0.3" footer="0.3"/>
  <pageSetup paperSize="9" orientation="landscape" horizontalDpi="0" verticalDpi="0"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dimension ref="A1:U26"/>
  <sheetViews>
    <sheetView tabSelected="1" zoomScale="115" zoomScaleNormal="115" workbookViewId="0">
      <selection activeCell="M5" sqref="M5:N5"/>
    </sheetView>
  </sheetViews>
  <sheetFormatPr baseColWidth="10" defaultColWidth="9.140625" defaultRowHeight="15" x14ac:dyDescent="0.25"/>
  <cols>
    <col min="1" max="16" width="8.7109375" style="1" customWidth="1"/>
    <col min="17" max="16384" width="9.140625" style="1"/>
  </cols>
  <sheetData>
    <row r="1" spans="1:16" ht="28.5" x14ac:dyDescent="0.25">
      <c r="A1" s="150" t="s">
        <v>107</v>
      </c>
      <c r="B1" s="150"/>
      <c r="C1" s="150"/>
      <c r="D1" s="150"/>
      <c r="E1" s="150"/>
      <c r="F1" s="150"/>
      <c r="G1" s="150"/>
      <c r="H1" s="150"/>
      <c r="I1" s="150"/>
      <c r="J1" s="150"/>
      <c r="K1" s="150"/>
      <c r="L1" s="150"/>
      <c r="M1" s="150"/>
      <c r="N1" s="150"/>
      <c r="O1" s="150"/>
      <c r="P1" s="150"/>
    </row>
    <row r="2" spans="1:16" ht="23.25" customHeight="1" thickBot="1" x14ac:dyDescent="0.3">
      <c r="A2" s="151"/>
      <c r="B2" s="151"/>
      <c r="C2" s="151"/>
      <c r="D2" s="151"/>
      <c r="E2" s="151"/>
      <c r="F2" s="151"/>
      <c r="G2" s="151"/>
      <c r="H2" s="151"/>
      <c r="I2" s="151"/>
      <c r="J2" s="151"/>
      <c r="K2" s="151"/>
      <c r="L2" s="151"/>
      <c r="M2" s="151"/>
      <c r="N2" s="151"/>
      <c r="O2" s="151"/>
      <c r="P2" s="151"/>
    </row>
    <row r="3" spans="1:16" x14ac:dyDescent="0.25">
      <c r="A3" s="2" t="s">
        <v>1</v>
      </c>
      <c r="B3" s="103" t="s">
        <v>108</v>
      </c>
      <c r="C3" s="103"/>
      <c r="D3" s="103"/>
      <c r="E3" s="103"/>
      <c r="F3" s="103"/>
      <c r="G3" s="103"/>
      <c r="H3" s="152"/>
      <c r="I3" s="101" t="s">
        <v>6</v>
      </c>
      <c r="J3" s="102"/>
      <c r="K3" s="153">
        <v>3</v>
      </c>
      <c r="L3" s="154"/>
      <c r="M3" s="101" t="s">
        <v>9</v>
      </c>
      <c r="N3" s="102"/>
      <c r="O3" s="102"/>
      <c r="P3" s="137"/>
    </row>
    <row r="4" spans="1:16" x14ac:dyDescent="0.25">
      <c r="A4" s="3" t="s">
        <v>2</v>
      </c>
      <c r="B4" s="119" t="s">
        <v>113</v>
      </c>
      <c r="C4" s="119"/>
      <c r="D4" s="119"/>
      <c r="E4" s="119"/>
      <c r="F4" s="119"/>
      <c r="G4" s="119"/>
      <c r="H4" s="141"/>
      <c r="I4" s="142" t="s">
        <v>7</v>
      </c>
      <c r="J4" s="143"/>
      <c r="K4" s="144">
        <v>35</v>
      </c>
      <c r="L4" s="145"/>
      <c r="M4" s="142" t="s">
        <v>10</v>
      </c>
      <c r="N4" s="143"/>
      <c r="O4" s="143" t="s">
        <v>11</v>
      </c>
      <c r="P4" s="146"/>
    </row>
    <row r="5" spans="1:16" ht="15.75" thickBot="1" x14ac:dyDescent="0.3">
      <c r="A5" s="4" t="s">
        <v>480</v>
      </c>
      <c r="B5" s="71">
        <v>80054</v>
      </c>
      <c r="C5" s="5" t="s">
        <v>481</v>
      </c>
      <c r="D5" s="70" t="s">
        <v>488</v>
      </c>
      <c r="E5" s="74"/>
      <c r="F5" s="5" t="s">
        <v>12</v>
      </c>
      <c r="G5" s="147">
        <v>322533600</v>
      </c>
      <c r="H5" s="126"/>
      <c r="I5" s="107" t="s">
        <v>8</v>
      </c>
      <c r="J5" s="108"/>
      <c r="K5" s="148">
        <v>300</v>
      </c>
      <c r="L5" s="149"/>
      <c r="M5" s="157"/>
      <c r="N5" s="148"/>
      <c r="O5" s="148">
        <v>312</v>
      </c>
      <c r="P5" s="149"/>
    </row>
    <row r="6" spans="1:16" ht="15.75" thickBot="1" x14ac:dyDescent="0.3">
      <c r="A6" s="159"/>
      <c r="B6" s="159"/>
      <c r="C6" s="159"/>
      <c r="D6" s="159"/>
      <c r="E6" s="159"/>
      <c r="F6" s="159"/>
      <c r="G6" s="159"/>
      <c r="H6" s="159"/>
      <c r="I6" s="159"/>
      <c r="J6" s="159"/>
      <c r="K6" s="159"/>
      <c r="L6" s="159"/>
      <c r="M6" s="159"/>
      <c r="N6" s="159"/>
      <c r="O6" s="159"/>
      <c r="P6" s="159"/>
    </row>
    <row r="7" spans="1:16" ht="15.75" thickBot="1" x14ac:dyDescent="0.3">
      <c r="A7" s="138" t="s">
        <v>31</v>
      </c>
      <c r="B7" s="139"/>
      <c r="C7" s="131"/>
      <c r="D7" s="131"/>
      <c r="E7" s="131"/>
      <c r="F7" s="131"/>
      <c r="G7" s="139" t="s">
        <v>32</v>
      </c>
      <c r="H7" s="139"/>
      <c r="I7" s="140"/>
      <c r="J7" s="140"/>
      <c r="K7" s="140"/>
      <c r="L7" s="139" t="s">
        <v>33</v>
      </c>
      <c r="M7" s="139"/>
      <c r="N7" s="131"/>
      <c r="O7" s="131"/>
      <c r="P7" s="132"/>
    </row>
    <row r="8" spans="1:16" ht="15.75" thickBot="1" x14ac:dyDescent="0.3">
      <c r="A8" s="133"/>
      <c r="B8" s="133"/>
      <c r="C8" s="133"/>
      <c r="D8" s="133"/>
      <c r="E8" s="133"/>
      <c r="F8" s="133"/>
      <c r="G8" s="133"/>
      <c r="H8" s="133"/>
      <c r="I8" s="133"/>
      <c r="J8" s="133"/>
      <c r="K8" s="133"/>
      <c r="L8" s="133"/>
      <c r="M8" s="133"/>
      <c r="N8" s="133"/>
      <c r="O8" s="133"/>
      <c r="P8" s="133"/>
    </row>
    <row r="9" spans="1:16" ht="15.75" thickBot="1" x14ac:dyDescent="0.3">
      <c r="A9" s="111" t="s">
        <v>13</v>
      </c>
      <c r="B9" s="112"/>
      <c r="C9" s="112"/>
      <c r="D9" s="112"/>
      <c r="E9" s="112"/>
      <c r="F9" s="112"/>
      <c r="G9" s="112"/>
      <c r="H9" s="112"/>
      <c r="I9" s="112"/>
      <c r="J9" s="112"/>
      <c r="K9" s="112"/>
      <c r="L9" s="112"/>
      <c r="M9" s="112"/>
      <c r="N9" s="112"/>
      <c r="O9" s="112"/>
      <c r="P9" s="113"/>
    </row>
    <row r="10" spans="1:16" s="6" customFormat="1" x14ac:dyDescent="0.25">
      <c r="A10" s="134" t="s">
        <v>1</v>
      </c>
      <c r="B10" s="135"/>
      <c r="C10" s="135" t="s">
        <v>3</v>
      </c>
      <c r="D10" s="135"/>
      <c r="E10" s="135" t="s">
        <v>4</v>
      </c>
      <c r="F10" s="135"/>
      <c r="G10" s="104" t="s">
        <v>20</v>
      </c>
      <c r="H10" s="105"/>
      <c r="I10" s="104" t="s">
        <v>21</v>
      </c>
      <c r="J10" s="136"/>
      <c r="K10" s="102" t="s">
        <v>5</v>
      </c>
      <c r="L10" s="102"/>
      <c r="M10" s="102"/>
      <c r="N10" s="102"/>
      <c r="O10" s="102"/>
      <c r="P10" s="137"/>
    </row>
    <row r="11" spans="1:16" x14ac:dyDescent="0.25">
      <c r="A11" s="118"/>
      <c r="B11" s="119"/>
      <c r="C11" s="119"/>
      <c r="D11" s="119"/>
      <c r="E11" s="119"/>
      <c r="F11" s="119"/>
      <c r="G11" s="120"/>
      <c r="H11" s="121"/>
      <c r="I11" s="120"/>
      <c r="J11" s="122"/>
      <c r="K11" s="129"/>
      <c r="L11" s="129"/>
      <c r="M11" s="129"/>
      <c r="N11" s="129"/>
      <c r="O11" s="129"/>
      <c r="P11" s="130"/>
    </row>
    <row r="12" spans="1:16" x14ac:dyDescent="0.25">
      <c r="A12" s="118" t="s">
        <v>47</v>
      </c>
      <c r="B12" s="119"/>
      <c r="C12" s="119" t="s">
        <v>48</v>
      </c>
      <c r="D12" s="119"/>
      <c r="E12" s="119" t="s">
        <v>49</v>
      </c>
      <c r="F12" s="119"/>
      <c r="G12" s="120">
        <v>322087614</v>
      </c>
      <c r="H12" s="121"/>
      <c r="I12" s="120"/>
      <c r="J12" s="122"/>
      <c r="K12" s="158" t="s">
        <v>46</v>
      </c>
      <c r="L12" s="123"/>
      <c r="M12" s="123"/>
      <c r="N12" s="123"/>
      <c r="O12" s="123"/>
      <c r="P12" s="124"/>
    </row>
    <row r="13" spans="1:16" x14ac:dyDescent="0.25">
      <c r="A13" s="118" t="s">
        <v>109</v>
      </c>
      <c r="B13" s="119"/>
      <c r="C13" s="119" t="s">
        <v>110</v>
      </c>
      <c r="D13" s="119"/>
      <c r="E13" s="119" t="s">
        <v>111</v>
      </c>
      <c r="F13" s="119"/>
      <c r="G13" s="120">
        <v>322087742</v>
      </c>
      <c r="H13" s="121"/>
      <c r="I13" s="120"/>
      <c r="J13" s="122"/>
      <c r="K13" s="123"/>
      <c r="L13" s="123"/>
      <c r="M13" s="123"/>
      <c r="N13" s="123"/>
      <c r="O13" s="123"/>
      <c r="P13" s="124"/>
    </row>
    <row r="14" spans="1:16" x14ac:dyDescent="0.25">
      <c r="A14" s="118"/>
      <c r="B14" s="119"/>
      <c r="C14" s="119"/>
      <c r="D14" s="119"/>
      <c r="E14" s="119"/>
      <c r="F14" s="119"/>
      <c r="G14" s="120"/>
      <c r="H14" s="121"/>
      <c r="I14" s="120"/>
      <c r="J14" s="122"/>
      <c r="K14" s="123"/>
      <c r="L14" s="123"/>
      <c r="M14" s="123"/>
      <c r="N14" s="123"/>
      <c r="O14" s="123"/>
      <c r="P14" s="124"/>
    </row>
    <row r="15" spans="1:16" x14ac:dyDescent="0.25">
      <c r="A15" s="118"/>
      <c r="B15" s="119"/>
      <c r="C15" s="119"/>
      <c r="D15" s="119"/>
      <c r="E15" s="119"/>
      <c r="F15" s="119"/>
      <c r="G15" s="120"/>
      <c r="H15" s="121"/>
      <c r="I15" s="120"/>
      <c r="J15" s="122"/>
      <c r="K15" s="123"/>
      <c r="L15" s="123"/>
      <c r="M15" s="123"/>
      <c r="N15" s="123"/>
      <c r="O15" s="123"/>
      <c r="P15" s="124"/>
    </row>
    <row r="16" spans="1:16" ht="15.75" thickBot="1" x14ac:dyDescent="0.3">
      <c r="A16" s="125" t="s">
        <v>64</v>
      </c>
      <c r="B16" s="109"/>
      <c r="C16" s="109"/>
      <c r="D16" s="109"/>
      <c r="E16" s="109"/>
      <c r="F16" s="109"/>
      <c r="G16" s="126"/>
      <c r="H16" s="127"/>
      <c r="I16" s="126"/>
      <c r="J16" s="128"/>
      <c r="K16" s="116"/>
      <c r="L16" s="116"/>
      <c r="M16" s="116"/>
      <c r="N16" s="116"/>
      <c r="O16" s="116"/>
      <c r="P16" s="117"/>
    </row>
    <row r="17" spans="1:21" ht="15.75" thickBot="1" x14ac:dyDescent="0.3">
      <c r="A17" s="100"/>
      <c r="B17" s="100"/>
      <c r="C17" s="100"/>
      <c r="D17" s="100"/>
      <c r="E17" s="100"/>
      <c r="F17" s="100"/>
      <c r="G17" s="100"/>
      <c r="H17" s="100"/>
      <c r="I17" s="100"/>
      <c r="J17" s="100"/>
      <c r="K17" s="100"/>
      <c r="L17" s="100"/>
      <c r="M17" s="100"/>
      <c r="N17" s="100"/>
      <c r="O17" s="100"/>
      <c r="P17" s="100"/>
    </row>
    <row r="18" spans="1:21" x14ac:dyDescent="0.25">
      <c r="A18" s="101" t="s">
        <v>23</v>
      </c>
      <c r="B18" s="102"/>
      <c r="C18" s="102"/>
      <c r="D18" s="103"/>
      <c r="E18" s="103"/>
      <c r="F18" s="103"/>
      <c r="G18" s="103"/>
      <c r="H18" s="103"/>
      <c r="I18" s="103"/>
      <c r="J18" s="104" t="s">
        <v>25</v>
      </c>
      <c r="K18" s="105"/>
      <c r="L18" s="103"/>
      <c r="M18" s="103"/>
      <c r="N18" s="103"/>
      <c r="O18" s="103"/>
      <c r="P18" s="106"/>
    </row>
    <row r="19" spans="1:21" ht="15.75" thickBot="1" x14ac:dyDescent="0.3">
      <c r="A19" s="107" t="s">
        <v>24</v>
      </c>
      <c r="B19" s="108"/>
      <c r="C19" s="108"/>
      <c r="D19" s="109"/>
      <c r="E19" s="109"/>
      <c r="F19" s="109"/>
      <c r="G19" s="109"/>
      <c r="H19" s="109"/>
      <c r="I19" s="109"/>
      <c r="J19" s="108" t="s">
        <v>26</v>
      </c>
      <c r="K19" s="108"/>
      <c r="L19" s="109"/>
      <c r="M19" s="109"/>
      <c r="N19" s="109"/>
      <c r="O19" s="109"/>
      <c r="P19" s="110"/>
    </row>
    <row r="20" spans="1:21" ht="15.75" thickBot="1" x14ac:dyDescent="0.3">
      <c r="A20" s="100"/>
      <c r="B20" s="100"/>
      <c r="C20" s="100"/>
      <c r="D20" s="100"/>
      <c r="E20" s="100"/>
      <c r="F20" s="100"/>
      <c r="G20" s="100"/>
      <c r="H20" s="100"/>
      <c r="I20" s="100"/>
      <c r="J20" s="100"/>
      <c r="K20" s="100"/>
      <c r="L20" s="100"/>
      <c r="M20" s="100"/>
      <c r="N20" s="100"/>
      <c r="O20" s="100"/>
      <c r="P20" s="100"/>
    </row>
    <row r="21" spans="1:21" ht="15.75" thickBot="1" x14ac:dyDescent="0.3">
      <c r="A21" s="111" t="s">
        <v>27</v>
      </c>
      <c r="B21" s="112"/>
      <c r="C21" s="112" t="s">
        <v>28</v>
      </c>
      <c r="D21" s="112"/>
      <c r="E21" s="112"/>
      <c r="F21" s="112"/>
      <c r="G21" s="112"/>
      <c r="H21" s="112"/>
      <c r="I21" s="112"/>
      <c r="J21" s="112"/>
      <c r="K21" s="112"/>
      <c r="L21" s="112"/>
      <c r="M21" s="112"/>
      <c r="N21" s="112"/>
      <c r="O21" s="112"/>
      <c r="P21" s="113"/>
      <c r="Q21" s="7"/>
      <c r="R21" s="7"/>
      <c r="S21" s="7"/>
      <c r="T21" s="7"/>
      <c r="U21" s="7"/>
    </row>
    <row r="22" spans="1:21" ht="30" customHeight="1" x14ac:dyDescent="0.25">
      <c r="A22" s="114">
        <v>42109</v>
      </c>
      <c r="B22" s="115"/>
      <c r="C22" s="155" t="s">
        <v>112</v>
      </c>
      <c r="D22" s="155"/>
      <c r="E22" s="155"/>
      <c r="F22" s="155"/>
      <c r="G22" s="155"/>
      <c r="H22" s="155"/>
      <c r="I22" s="155"/>
      <c r="J22" s="155"/>
      <c r="K22" s="155"/>
      <c r="L22" s="155"/>
      <c r="M22" s="155"/>
      <c r="N22" s="155"/>
      <c r="O22" s="155"/>
      <c r="P22" s="156"/>
      <c r="Q22" s="7"/>
      <c r="R22" s="7"/>
      <c r="S22" s="7"/>
      <c r="T22" s="7"/>
      <c r="U22" s="7"/>
    </row>
    <row r="23" spans="1:21" ht="30" customHeight="1" x14ac:dyDescent="0.25">
      <c r="A23" s="89"/>
      <c r="B23" s="90"/>
      <c r="C23" s="91"/>
      <c r="D23" s="91"/>
      <c r="E23" s="91"/>
      <c r="F23" s="91"/>
      <c r="G23" s="91"/>
      <c r="H23" s="91"/>
      <c r="I23" s="91"/>
      <c r="J23" s="91"/>
      <c r="K23" s="91"/>
      <c r="L23" s="91"/>
      <c r="M23" s="91"/>
      <c r="N23" s="91"/>
      <c r="O23" s="91"/>
      <c r="P23" s="92"/>
      <c r="Q23" s="7"/>
      <c r="R23" s="7"/>
      <c r="S23" s="7"/>
      <c r="T23" s="7"/>
      <c r="U23" s="7"/>
    </row>
    <row r="24" spans="1:21" ht="30" customHeight="1" x14ac:dyDescent="0.25">
      <c r="A24" s="89"/>
      <c r="B24" s="90"/>
      <c r="C24" s="91"/>
      <c r="D24" s="91"/>
      <c r="E24" s="91"/>
      <c r="F24" s="91"/>
      <c r="G24" s="91"/>
      <c r="H24" s="91"/>
      <c r="I24" s="91"/>
      <c r="J24" s="91"/>
      <c r="K24" s="91"/>
      <c r="L24" s="91"/>
      <c r="M24" s="91"/>
      <c r="N24" s="91"/>
      <c r="O24" s="91"/>
      <c r="P24" s="92"/>
      <c r="Q24" s="7"/>
      <c r="R24" s="7"/>
      <c r="S24" s="7"/>
      <c r="T24" s="7"/>
      <c r="U24" s="7"/>
    </row>
    <row r="25" spans="1:21" ht="30" customHeight="1" x14ac:dyDescent="0.25">
      <c r="A25" s="89"/>
      <c r="B25" s="90"/>
      <c r="C25" s="91"/>
      <c r="D25" s="91"/>
      <c r="E25" s="91"/>
      <c r="F25" s="91"/>
      <c r="G25" s="91"/>
      <c r="H25" s="91"/>
      <c r="I25" s="91"/>
      <c r="J25" s="91"/>
      <c r="K25" s="91"/>
      <c r="L25" s="91"/>
      <c r="M25" s="91"/>
      <c r="N25" s="91"/>
      <c r="O25" s="91"/>
      <c r="P25" s="92"/>
    </row>
    <row r="26" spans="1:21" ht="30" customHeight="1" thickBot="1" x14ac:dyDescent="0.3">
      <c r="A26" s="93"/>
      <c r="B26" s="94"/>
      <c r="C26" s="95"/>
      <c r="D26" s="95"/>
      <c r="E26" s="95"/>
      <c r="F26" s="95"/>
      <c r="G26" s="95"/>
      <c r="H26" s="95"/>
      <c r="I26" s="95"/>
      <c r="J26" s="95"/>
      <c r="K26" s="95"/>
      <c r="L26" s="95"/>
      <c r="M26" s="95"/>
      <c r="N26" s="95"/>
      <c r="O26" s="95"/>
      <c r="P26" s="96"/>
    </row>
  </sheetData>
  <mergeCells count="89">
    <mergeCell ref="A1:P1"/>
    <mergeCell ref="A2:P2"/>
    <mergeCell ref="B3:H3"/>
    <mergeCell ref="I3:J3"/>
    <mergeCell ref="K3:L3"/>
    <mergeCell ref="M3:P3"/>
    <mergeCell ref="B4:H4"/>
    <mergeCell ref="I4:J4"/>
    <mergeCell ref="K4:L4"/>
    <mergeCell ref="M4:N4"/>
    <mergeCell ref="O4:P4"/>
    <mergeCell ref="O5:P5"/>
    <mergeCell ref="A7:B7"/>
    <mergeCell ref="C7:F7"/>
    <mergeCell ref="G7:H7"/>
    <mergeCell ref="I7:K7"/>
    <mergeCell ref="L7:M7"/>
    <mergeCell ref="N7:P7"/>
    <mergeCell ref="G5:H5"/>
    <mergeCell ref="I5:J5"/>
    <mergeCell ref="K5:L5"/>
    <mergeCell ref="M5:N5"/>
    <mergeCell ref="A6:P6"/>
    <mergeCell ref="A8:P8"/>
    <mergeCell ref="A9:P9"/>
    <mergeCell ref="A10:B10"/>
    <mergeCell ref="C10:D10"/>
    <mergeCell ref="E10:F10"/>
    <mergeCell ref="G10:H10"/>
    <mergeCell ref="I10:J10"/>
    <mergeCell ref="K10:P10"/>
    <mergeCell ref="K12:P12"/>
    <mergeCell ref="A11:B11"/>
    <mergeCell ref="C11:D11"/>
    <mergeCell ref="E11:F11"/>
    <mergeCell ref="G11:H11"/>
    <mergeCell ref="I11:J11"/>
    <mergeCell ref="K11:P11"/>
    <mergeCell ref="A12:B12"/>
    <mergeCell ref="C12:D12"/>
    <mergeCell ref="E12:F12"/>
    <mergeCell ref="G12:H12"/>
    <mergeCell ref="I12:J12"/>
    <mergeCell ref="K14:P14"/>
    <mergeCell ref="A13:B13"/>
    <mergeCell ref="C13:D13"/>
    <mergeCell ref="E13:F13"/>
    <mergeCell ref="G13:H13"/>
    <mergeCell ref="I13:J13"/>
    <mergeCell ref="K13:P13"/>
    <mergeCell ref="A14:B14"/>
    <mergeCell ref="C14:D14"/>
    <mergeCell ref="E14:F14"/>
    <mergeCell ref="G14:H14"/>
    <mergeCell ref="I14:J14"/>
    <mergeCell ref="K16:P16"/>
    <mergeCell ref="A15:B15"/>
    <mergeCell ref="C15:D15"/>
    <mergeCell ref="E15:F15"/>
    <mergeCell ref="G15:H15"/>
    <mergeCell ref="I15:J15"/>
    <mergeCell ref="K15:P15"/>
    <mergeCell ref="A16:B16"/>
    <mergeCell ref="C16:D16"/>
    <mergeCell ref="E16:F16"/>
    <mergeCell ref="G16:H16"/>
    <mergeCell ref="I16:J16"/>
    <mergeCell ref="A23:B23"/>
    <mergeCell ref="C23:P23"/>
    <mergeCell ref="A17:P17"/>
    <mergeCell ref="A18:C18"/>
    <mergeCell ref="D18:I18"/>
    <mergeCell ref="J18:K18"/>
    <mergeCell ref="L18:P18"/>
    <mergeCell ref="A19:C19"/>
    <mergeCell ref="D19:I19"/>
    <mergeCell ref="J19:K19"/>
    <mergeCell ref="L19:P19"/>
    <mergeCell ref="A20:P20"/>
    <mergeCell ref="A21:B21"/>
    <mergeCell ref="C21:P21"/>
    <mergeCell ref="A22:B22"/>
    <mergeCell ref="C22:P22"/>
    <mergeCell ref="A24:B24"/>
    <mergeCell ref="C24:P24"/>
    <mergeCell ref="A25:B25"/>
    <mergeCell ref="C25:P25"/>
    <mergeCell ref="A26:B26"/>
    <mergeCell ref="C26:P26"/>
  </mergeCells>
  <hyperlinks>
    <hyperlink ref="K12" r:id="rId1"/>
  </hyperlinks>
  <pageMargins left="0.25" right="0.25" top="0.75" bottom="0.75" header="0.3" footer="0.3"/>
  <pageSetup paperSize="9" orientation="landscape" horizontalDpi="0" verticalDpi="0"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U26"/>
  <sheetViews>
    <sheetView tabSelected="1" zoomScale="115" zoomScaleNormal="115" workbookViewId="0">
      <selection activeCell="M5" sqref="M5:N5"/>
    </sheetView>
  </sheetViews>
  <sheetFormatPr baseColWidth="10" defaultColWidth="9.140625" defaultRowHeight="15" x14ac:dyDescent="0.25"/>
  <cols>
    <col min="1" max="16" width="8.7109375" style="1" customWidth="1"/>
    <col min="17" max="16384" width="9.140625" style="1"/>
  </cols>
  <sheetData>
    <row r="1" spans="1:16" ht="28.5" x14ac:dyDescent="0.25">
      <c r="A1" s="150" t="s">
        <v>50</v>
      </c>
      <c r="B1" s="150"/>
      <c r="C1" s="150"/>
      <c r="D1" s="150"/>
      <c r="E1" s="150"/>
      <c r="F1" s="150"/>
      <c r="G1" s="150"/>
      <c r="H1" s="150"/>
      <c r="I1" s="150"/>
      <c r="J1" s="150"/>
      <c r="K1" s="150"/>
      <c r="L1" s="150"/>
      <c r="M1" s="150"/>
      <c r="N1" s="150"/>
      <c r="O1" s="150"/>
      <c r="P1" s="150"/>
    </row>
    <row r="2" spans="1:16" ht="23.25" customHeight="1" thickBot="1" x14ac:dyDescent="0.3">
      <c r="A2" s="151"/>
      <c r="B2" s="151"/>
      <c r="C2" s="151"/>
      <c r="D2" s="151"/>
      <c r="E2" s="151"/>
      <c r="F2" s="151"/>
      <c r="G2" s="151"/>
      <c r="H2" s="151"/>
      <c r="I2" s="151"/>
      <c r="J2" s="151"/>
      <c r="K2" s="151"/>
      <c r="L2" s="151"/>
      <c r="M2" s="151"/>
      <c r="N2" s="151"/>
      <c r="O2" s="151"/>
      <c r="P2" s="151"/>
    </row>
    <row r="3" spans="1:16" x14ac:dyDescent="0.25">
      <c r="A3" s="2" t="s">
        <v>1</v>
      </c>
      <c r="B3" s="103" t="s">
        <v>51</v>
      </c>
      <c r="C3" s="103"/>
      <c r="D3" s="103"/>
      <c r="E3" s="103"/>
      <c r="F3" s="103"/>
      <c r="G3" s="103"/>
      <c r="H3" s="152"/>
      <c r="I3" s="101" t="s">
        <v>6</v>
      </c>
      <c r="J3" s="102"/>
      <c r="K3" s="153">
        <v>3</v>
      </c>
      <c r="L3" s="154"/>
      <c r="M3" s="101" t="s">
        <v>9</v>
      </c>
      <c r="N3" s="102"/>
      <c r="O3" s="102"/>
      <c r="P3" s="137"/>
    </row>
    <row r="4" spans="1:16" x14ac:dyDescent="0.25">
      <c r="A4" s="3" t="s">
        <v>2</v>
      </c>
      <c r="B4" s="119" t="s">
        <v>52</v>
      </c>
      <c r="C4" s="119"/>
      <c r="D4" s="119"/>
      <c r="E4" s="119"/>
      <c r="F4" s="119"/>
      <c r="G4" s="119"/>
      <c r="H4" s="141"/>
      <c r="I4" s="142" t="s">
        <v>7</v>
      </c>
      <c r="J4" s="143"/>
      <c r="K4" s="144">
        <v>40</v>
      </c>
      <c r="L4" s="145"/>
      <c r="M4" s="142" t="s">
        <v>10</v>
      </c>
      <c r="N4" s="143"/>
      <c r="O4" s="143" t="s">
        <v>11</v>
      </c>
      <c r="P4" s="146"/>
    </row>
    <row r="5" spans="1:16" ht="15.75" thickBot="1" x14ac:dyDescent="0.3">
      <c r="A5" s="4" t="s">
        <v>480</v>
      </c>
      <c r="B5" s="71">
        <v>49933</v>
      </c>
      <c r="C5" s="5" t="s">
        <v>481</v>
      </c>
      <c r="D5" s="70" t="s">
        <v>490</v>
      </c>
      <c r="E5" s="74"/>
      <c r="F5" s="5" t="s">
        <v>12</v>
      </c>
      <c r="G5" s="147">
        <v>241353737</v>
      </c>
      <c r="H5" s="126"/>
      <c r="I5" s="107" t="s">
        <v>8</v>
      </c>
      <c r="J5" s="108"/>
      <c r="K5" s="148">
        <v>204</v>
      </c>
      <c r="L5" s="149"/>
      <c r="M5" s="157"/>
      <c r="N5" s="148"/>
      <c r="O5" s="148">
        <v>204</v>
      </c>
      <c r="P5" s="149"/>
    </row>
    <row r="6" spans="1:16" ht="15.75" thickBot="1" x14ac:dyDescent="0.3">
      <c r="A6" s="12"/>
      <c r="B6" s="12"/>
      <c r="C6" s="12"/>
      <c r="D6" s="12"/>
      <c r="E6" s="12"/>
      <c r="F6" s="12"/>
      <c r="G6" s="12"/>
      <c r="H6" s="12"/>
      <c r="I6" s="12"/>
      <c r="J6" s="12"/>
      <c r="K6" s="12"/>
      <c r="L6" s="12"/>
      <c r="M6" s="12"/>
      <c r="N6" s="12"/>
      <c r="O6" s="12"/>
      <c r="P6" s="12"/>
    </row>
    <row r="7" spans="1:16" ht="15.75" thickBot="1" x14ac:dyDescent="0.3">
      <c r="A7" s="138" t="s">
        <v>31</v>
      </c>
      <c r="B7" s="139"/>
      <c r="C7" s="131"/>
      <c r="D7" s="131"/>
      <c r="E7" s="131"/>
      <c r="F7" s="131"/>
      <c r="G7" s="139" t="s">
        <v>32</v>
      </c>
      <c r="H7" s="139"/>
      <c r="I7" s="140"/>
      <c r="J7" s="140"/>
      <c r="K7" s="140"/>
      <c r="L7" s="139" t="s">
        <v>33</v>
      </c>
      <c r="M7" s="139"/>
      <c r="N7" s="131"/>
      <c r="O7" s="131"/>
      <c r="P7" s="132"/>
    </row>
    <row r="8" spans="1:16" ht="15.75" thickBot="1" x14ac:dyDescent="0.3">
      <c r="A8" s="133"/>
      <c r="B8" s="133"/>
      <c r="C8" s="133"/>
      <c r="D8" s="133"/>
      <c r="E8" s="133"/>
      <c r="F8" s="133"/>
      <c r="G8" s="133"/>
      <c r="H8" s="133"/>
      <c r="I8" s="133"/>
      <c r="J8" s="133"/>
      <c r="K8" s="133"/>
      <c r="L8" s="133"/>
      <c r="M8" s="133"/>
      <c r="N8" s="133"/>
      <c r="O8" s="133"/>
      <c r="P8" s="133"/>
    </row>
    <row r="9" spans="1:16" ht="15.75" thickBot="1" x14ac:dyDescent="0.3">
      <c r="A9" s="111" t="s">
        <v>13</v>
      </c>
      <c r="B9" s="112"/>
      <c r="C9" s="112"/>
      <c r="D9" s="112"/>
      <c r="E9" s="112"/>
      <c r="F9" s="112"/>
      <c r="G9" s="112"/>
      <c r="H9" s="112"/>
      <c r="I9" s="112"/>
      <c r="J9" s="112"/>
      <c r="K9" s="112"/>
      <c r="L9" s="112"/>
      <c r="M9" s="112"/>
      <c r="N9" s="112"/>
      <c r="O9" s="112"/>
      <c r="P9" s="113"/>
    </row>
    <row r="10" spans="1:16" s="6" customFormat="1" x14ac:dyDescent="0.25">
      <c r="A10" s="134" t="s">
        <v>1</v>
      </c>
      <c r="B10" s="135"/>
      <c r="C10" s="135" t="s">
        <v>3</v>
      </c>
      <c r="D10" s="135"/>
      <c r="E10" s="135" t="s">
        <v>4</v>
      </c>
      <c r="F10" s="135"/>
      <c r="G10" s="104" t="s">
        <v>20</v>
      </c>
      <c r="H10" s="105"/>
      <c r="I10" s="104" t="s">
        <v>21</v>
      </c>
      <c r="J10" s="136"/>
      <c r="K10" s="102" t="s">
        <v>5</v>
      </c>
      <c r="L10" s="102"/>
      <c r="M10" s="102"/>
      <c r="N10" s="102"/>
      <c r="O10" s="102"/>
      <c r="P10" s="137"/>
    </row>
    <row r="11" spans="1:16" x14ac:dyDescent="0.25">
      <c r="A11" s="118" t="s">
        <v>53</v>
      </c>
      <c r="B11" s="119"/>
      <c r="C11" s="119" t="s">
        <v>54</v>
      </c>
      <c r="D11" s="119"/>
      <c r="E11" s="119" t="s">
        <v>45</v>
      </c>
      <c r="F11" s="119"/>
      <c r="G11" s="120">
        <v>241354419</v>
      </c>
      <c r="H11" s="121"/>
      <c r="I11" s="120"/>
      <c r="J11" s="122"/>
      <c r="K11" s="129"/>
      <c r="L11" s="129"/>
      <c r="M11" s="129"/>
      <c r="N11" s="129"/>
      <c r="O11" s="129"/>
      <c r="P11" s="130"/>
    </row>
    <row r="12" spans="1:16" x14ac:dyDescent="0.25">
      <c r="A12" s="118" t="s">
        <v>55</v>
      </c>
      <c r="B12" s="119"/>
      <c r="C12" s="119" t="s">
        <v>56</v>
      </c>
      <c r="D12" s="119"/>
      <c r="E12" s="119" t="s">
        <v>57</v>
      </c>
      <c r="F12" s="119"/>
      <c r="G12" s="120">
        <v>241354238</v>
      </c>
      <c r="H12" s="121"/>
      <c r="I12" s="120">
        <v>665807159</v>
      </c>
      <c r="J12" s="122"/>
      <c r="K12" s="158" t="s">
        <v>60</v>
      </c>
      <c r="L12" s="123"/>
      <c r="M12" s="123"/>
      <c r="N12" s="123"/>
      <c r="O12" s="123"/>
      <c r="P12" s="124"/>
    </row>
    <row r="13" spans="1:16" x14ac:dyDescent="0.25">
      <c r="A13" s="118" t="s">
        <v>58</v>
      </c>
      <c r="B13" s="119"/>
      <c r="C13" s="119" t="s">
        <v>59</v>
      </c>
      <c r="D13" s="119"/>
      <c r="E13" s="119" t="s">
        <v>63</v>
      </c>
      <c r="F13" s="119"/>
      <c r="G13" s="120"/>
      <c r="H13" s="121"/>
      <c r="I13" s="120"/>
      <c r="J13" s="122"/>
      <c r="K13" s="158" t="s">
        <v>61</v>
      </c>
      <c r="L13" s="123"/>
      <c r="M13" s="123"/>
      <c r="N13" s="123"/>
      <c r="O13" s="123"/>
      <c r="P13" s="124"/>
    </row>
    <row r="14" spans="1:16" x14ac:dyDescent="0.25">
      <c r="A14" s="118"/>
      <c r="B14" s="119"/>
      <c r="C14" s="119"/>
      <c r="D14" s="119"/>
      <c r="E14" s="119"/>
      <c r="F14" s="119"/>
      <c r="G14" s="120"/>
      <c r="H14" s="121"/>
      <c r="I14" s="120"/>
      <c r="J14" s="122"/>
      <c r="K14" s="123"/>
      <c r="L14" s="123"/>
      <c r="M14" s="123"/>
      <c r="N14" s="123"/>
      <c r="O14" s="123"/>
      <c r="P14" s="124"/>
    </row>
    <row r="15" spans="1:16" x14ac:dyDescent="0.25">
      <c r="A15" s="118"/>
      <c r="B15" s="119"/>
      <c r="C15" s="119"/>
      <c r="D15" s="119"/>
      <c r="E15" s="119"/>
      <c r="F15" s="119"/>
      <c r="G15" s="120"/>
      <c r="H15" s="121"/>
      <c r="I15" s="120"/>
      <c r="J15" s="122"/>
      <c r="K15" s="123"/>
      <c r="L15" s="123"/>
      <c r="M15" s="123"/>
      <c r="N15" s="123"/>
      <c r="O15" s="123"/>
      <c r="P15" s="124"/>
    </row>
    <row r="16" spans="1:16" ht="15.75" thickBot="1" x14ac:dyDescent="0.3">
      <c r="A16" s="125"/>
      <c r="B16" s="109"/>
      <c r="C16" s="109"/>
      <c r="D16" s="109"/>
      <c r="E16" s="109"/>
      <c r="F16" s="109"/>
      <c r="G16" s="126"/>
      <c r="H16" s="127"/>
      <c r="I16" s="126"/>
      <c r="J16" s="128"/>
      <c r="K16" s="116"/>
      <c r="L16" s="116"/>
      <c r="M16" s="116"/>
      <c r="N16" s="116"/>
      <c r="O16" s="116"/>
      <c r="P16" s="117"/>
    </row>
    <row r="17" spans="1:21" ht="15.75" thickBot="1" x14ac:dyDescent="0.3">
      <c r="A17" s="100"/>
      <c r="B17" s="100"/>
      <c r="C17" s="100"/>
      <c r="D17" s="100"/>
      <c r="E17" s="100"/>
      <c r="F17" s="100"/>
      <c r="G17" s="100"/>
      <c r="H17" s="100"/>
      <c r="I17" s="100"/>
      <c r="J17" s="100"/>
      <c r="K17" s="100"/>
      <c r="L17" s="100"/>
      <c r="M17" s="100"/>
      <c r="N17" s="100"/>
      <c r="O17" s="100"/>
      <c r="P17" s="100"/>
    </row>
    <row r="18" spans="1:21" x14ac:dyDescent="0.25">
      <c r="A18" s="101" t="s">
        <v>23</v>
      </c>
      <c r="B18" s="102"/>
      <c r="C18" s="102"/>
      <c r="D18" s="103"/>
      <c r="E18" s="103"/>
      <c r="F18" s="103"/>
      <c r="G18" s="103"/>
      <c r="H18" s="103"/>
      <c r="I18" s="103"/>
      <c r="J18" s="104" t="s">
        <v>25</v>
      </c>
      <c r="K18" s="105"/>
      <c r="L18" s="103"/>
      <c r="M18" s="103"/>
      <c r="N18" s="103"/>
      <c r="O18" s="103"/>
      <c r="P18" s="106"/>
    </row>
    <row r="19" spans="1:21" ht="15.75" thickBot="1" x14ac:dyDescent="0.3">
      <c r="A19" s="107" t="s">
        <v>24</v>
      </c>
      <c r="B19" s="108"/>
      <c r="C19" s="108"/>
      <c r="D19" s="109"/>
      <c r="E19" s="109"/>
      <c r="F19" s="109"/>
      <c r="G19" s="109"/>
      <c r="H19" s="109"/>
      <c r="I19" s="109"/>
      <c r="J19" s="108" t="s">
        <v>26</v>
      </c>
      <c r="K19" s="108"/>
      <c r="L19" s="109"/>
      <c r="M19" s="109"/>
      <c r="N19" s="109"/>
      <c r="O19" s="109"/>
      <c r="P19" s="110"/>
    </row>
    <row r="20" spans="1:21" ht="15.75" thickBot="1" x14ac:dyDescent="0.3">
      <c r="A20" s="100"/>
      <c r="B20" s="100"/>
      <c r="C20" s="100"/>
      <c r="D20" s="100"/>
      <c r="E20" s="100"/>
      <c r="F20" s="100"/>
      <c r="G20" s="100"/>
      <c r="H20" s="100"/>
      <c r="I20" s="100"/>
      <c r="J20" s="100"/>
      <c r="K20" s="100"/>
      <c r="L20" s="100"/>
      <c r="M20" s="100"/>
      <c r="N20" s="100"/>
      <c r="O20" s="100"/>
      <c r="P20" s="100"/>
    </row>
    <row r="21" spans="1:21" ht="15.75" thickBot="1" x14ac:dyDescent="0.3">
      <c r="A21" s="111" t="s">
        <v>27</v>
      </c>
      <c r="B21" s="112"/>
      <c r="C21" s="112" t="s">
        <v>28</v>
      </c>
      <c r="D21" s="112"/>
      <c r="E21" s="112"/>
      <c r="F21" s="112"/>
      <c r="G21" s="112"/>
      <c r="H21" s="112"/>
      <c r="I21" s="112"/>
      <c r="J21" s="112"/>
      <c r="K21" s="112"/>
      <c r="L21" s="112"/>
      <c r="M21" s="112"/>
      <c r="N21" s="112"/>
      <c r="O21" s="112"/>
      <c r="P21" s="113"/>
      <c r="Q21" s="7"/>
      <c r="R21" s="7"/>
      <c r="S21" s="7"/>
      <c r="T21" s="7"/>
      <c r="U21" s="7"/>
    </row>
    <row r="22" spans="1:21" ht="30" customHeight="1" x14ac:dyDescent="0.25">
      <c r="A22" s="114">
        <v>42109</v>
      </c>
      <c r="B22" s="115"/>
      <c r="C22" s="91" t="s">
        <v>62</v>
      </c>
      <c r="D22" s="91"/>
      <c r="E22" s="91"/>
      <c r="F22" s="91"/>
      <c r="G22" s="91"/>
      <c r="H22" s="91"/>
      <c r="I22" s="91"/>
      <c r="J22" s="91"/>
      <c r="K22" s="91"/>
      <c r="L22" s="91"/>
      <c r="M22" s="91"/>
      <c r="N22" s="91"/>
      <c r="O22" s="91"/>
      <c r="P22" s="92"/>
      <c r="Q22" s="7"/>
      <c r="R22" s="7"/>
      <c r="S22" s="7"/>
      <c r="T22" s="7"/>
      <c r="U22" s="7"/>
    </row>
    <row r="23" spans="1:21" ht="30" customHeight="1" x14ac:dyDescent="0.25">
      <c r="A23" s="89"/>
      <c r="B23" s="90"/>
      <c r="C23" s="91"/>
      <c r="D23" s="91"/>
      <c r="E23" s="91"/>
      <c r="F23" s="91"/>
      <c r="G23" s="91"/>
      <c r="H23" s="91"/>
      <c r="I23" s="91"/>
      <c r="J23" s="91"/>
      <c r="K23" s="91"/>
      <c r="L23" s="91"/>
      <c r="M23" s="91"/>
      <c r="N23" s="91"/>
      <c r="O23" s="91"/>
      <c r="P23" s="92"/>
      <c r="Q23" s="7"/>
      <c r="R23" s="7"/>
      <c r="S23" s="7"/>
      <c r="T23" s="7"/>
      <c r="U23" s="7"/>
    </row>
    <row r="24" spans="1:21" ht="30" customHeight="1" x14ac:dyDescent="0.25">
      <c r="A24" s="89"/>
      <c r="B24" s="90"/>
      <c r="C24" s="91"/>
      <c r="D24" s="91"/>
      <c r="E24" s="91"/>
      <c r="F24" s="91"/>
      <c r="G24" s="91"/>
      <c r="H24" s="91"/>
      <c r="I24" s="91"/>
      <c r="J24" s="91"/>
      <c r="K24" s="91"/>
      <c r="L24" s="91"/>
      <c r="M24" s="91"/>
      <c r="N24" s="91"/>
      <c r="O24" s="91"/>
      <c r="P24" s="92"/>
      <c r="Q24" s="7"/>
      <c r="R24" s="7"/>
      <c r="S24" s="7"/>
      <c r="T24" s="7"/>
      <c r="U24" s="7"/>
    </row>
    <row r="25" spans="1:21" ht="30" customHeight="1" x14ac:dyDescent="0.25">
      <c r="A25" s="89"/>
      <c r="B25" s="90"/>
      <c r="C25" s="91"/>
      <c r="D25" s="91"/>
      <c r="E25" s="91"/>
      <c r="F25" s="91"/>
      <c r="G25" s="91"/>
      <c r="H25" s="91"/>
      <c r="I25" s="91"/>
      <c r="J25" s="91"/>
      <c r="K25" s="91"/>
      <c r="L25" s="91"/>
      <c r="M25" s="91"/>
      <c r="N25" s="91"/>
      <c r="O25" s="91"/>
      <c r="P25" s="92"/>
    </row>
    <row r="26" spans="1:21" ht="30" customHeight="1" thickBot="1" x14ac:dyDescent="0.3">
      <c r="A26" s="93"/>
      <c r="B26" s="94"/>
      <c r="C26" s="95"/>
      <c r="D26" s="95"/>
      <c r="E26" s="95"/>
      <c r="F26" s="95"/>
      <c r="G26" s="95"/>
      <c r="H26" s="95"/>
      <c r="I26" s="95"/>
      <c r="J26" s="95"/>
      <c r="K26" s="95"/>
      <c r="L26" s="95"/>
      <c r="M26" s="95"/>
      <c r="N26" s="95"/>
      <c r="O26" s="95"/>
      <c r="P26" s="96"/>
    </row>
  </sheetData>
  <mergeCells count="88">
    <mergeCell ref="A1:P1"/>
    <mergeCell ref="A2:P2"/>
    <mergeCell ref="B3:H3"/>
    <mergeCell ref="I3:J3"/>
    <mergeCell ref="K3:L3"/>
    <mergeCell ref="M3:P3"/>
    <mergeCell ref="B4:H4"/>
    <mergeCell ref="I4:J4"/>
    <mergeCell ref="K4:L4"/>
    <mergeCell ref="M4:N4"/>
    <mergeCell ref="O4:P4"/>
    <mergeCell ref="O5:P5"/>
    <mergeCell ref="A7:B7"/>
    <mergeCell ref="C7:F7"/>
    <mergeCell ref="G7:H7"/>
    <mergeCell ref="I7:K7"/>
    <mergeCell ref="L7:M7"/>
    <mergeCell ref="N7:P7"/>
    <mergeCell ref="G5:H5"/>
    <mergeCell ref="I5:J5"/>
    <mergeCell ref="K5:L5"/>
    <mergeCell ref="M5:N5"/>
    <mergeCell ref="A8:P8"/>
    <mergeCell ref="A9:P9"/>
    <mergeCell ref="A10:B10"/>
    <mergeCell ref="C10:D10"/>
    <mergeCell ref="E10:F10"/>
    <mergeCell ref="G10:H10"/>
    <mergeCell ref="I10:J10"/>
    <mergeCell ref="K10:P10"/>
    <mergeCell ref="K12:P12"/>
    <mergeCell ref="A11:B11"/>
    <mergeCell ref="C11:D11"/>
    <mergeCell ref="E11:F11"/>
    <mergeCell ref="G11:H11"/>
    <mergeCell ref="I11:J11"/>
    <mergeCell ref="K11:P11"/>
    <mergeCell ref="A12:B12"/>
    <mergeCell ref="C12:D12"/>
    <mergeCell ref="E12:F12"/>
    <mergeCell ref="G12:H12"/>
    <mergeCell ref="I12:J12"/>
    <mergeCell ref="K14:P14"/>
    <mergeCell ref="A13:B13"/>
    <mergeCell ref="C13:D13"/>
    <mergeCell ref="E13:F13"/>
    <mergeCell ref="G13:H13"/>
    <mergeCell ref="I13:J13"/>
    <mergeCell ref="K13:P13"/>
    <mergeCell ref="A14:B14"/>
    <mergeCell ref="C14:D14"/>
    <mergeCell ref="E14:F14"/>
    <mergeCell ref="G14:H14"/>
    <mergeCell ref="I14:J14"/>
    <mergeCell ref="K16:P16"/>
    <mergeCell ref="A15:B15"/>
    <mergeCell ref="C15:D15"/>
    <mergeCell ref="E15:F15"/>
    <mergeCell ref="G15:H15"/>
    <mergeCell ref="I15:J15"/>
    <mergeCell ref="K15:P15"/>
    <mergeCell ref="A16:B16"/>
    <mergeCell ref="C16:D16"/>
    <mergeCell ref="E16:F16"/>
    <mergeCell ref="G16:H16"/>
    <mergeCell ref="I16:J16"/>
    <mergeCell ref="A23:B23"/>
    <mergeCell ref="C23:P23"/>
    <mergeCell ref="A17:P17"/>
    <mergeCell ref="A18:C18"/>
    <mergeCell ref="D18:I18"/>
    <mergeCell ref="J18:K18"/>
    <mergeCell ref="L18:P18"/>
    <mergeCell ref="A19:C19"/>
    <mergeCell ref="D19:I19"/>
    <mergeCell ref="J19:K19"/>
    <mergeCell ref="L19:P19"/>
    <mergeCell ref="A20:P20"/>
    <mergeCell ref="A21:B21"/>
    <mergeCell ref="C21:P21"/>
    <mergeCell ref="A22:B22"/>
    <mergeCell ref="C22:P22"/>
    <mergeCell ref="A24:B24"/>
    <mergeCell ref="C24:P24"/>
    <mergeCell ref="A25:B25"/>
    <mergeCell ref="C25:P25"/>
    <mergeCell ref="A26:B26"/>
    <mergeCell ref="C26:P26"/>
  </mergeCells>
  <hyperlinks>
    <hyperlink ref="K12" r:id="rId1"/>
    <hyperlink ref="K13" r:id="rId2"/>
  </hyperlinks>
  <pageMargins left="0.25" right="0.25" top="0.75" bottom="0.75" header="0.3" footer="0.3"/>
  <pageSetup paperSize="9" orientation="landscape" horizontalDpi="0" verticalDpi="0"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dimension ref="A1:U26"/>
  <sheetViews>
    <sheetView tabSelected="1" zoomScale="115" zoomScaleNormal="115" workbookViewId="0">
      <selection activeCell="M5" sqref="M5:N5"/>
    </sheetView>
  </sheetViews>
  <sheetFormatPr baseColWidth="10" defaultColWidth="9.140625" defaultRowHeight="15" x14ac:dyDescent="0.25"/>
  <cols>
    <col min="1" max="16" width="8.7109375" style="1" customWidth="1"/>
    <col min="17" max="16384" width="9.140625" style="1"/>
  </cols>
  <sheetData>
    <row r="1" spans="1:16" ht="28.5" x14ac:dyDescent="0.25">
      <c r="A1" s="150" t="s">
        <v>65</v>
      </c>
      <c r="B1" s="150"/>
      <c r="C1" s="150"/>
      <c r="D1" s="150"/>
      <c r="E1" s="150"/>
      <c r="F1" s="150"/>
      <c r="G1" s="150"/>
      <c r="H1" s="150"/>
      <c r="I1" s="150"/>
      <c r="J1" s="150"/>
      <c r="K1" s="150"/>
      <c r="L1" s="150"/>
      <c r="M1" s="150"/>
      <c r="N1" s="150"/>
      <c r="O1" s="150"/>
      <c r="P1" s="150"/>
    </row>
    <row r="2" spans="1:16" ht="23.25" customHeight="1" thickBot="1" x14ac:dyDescent="0.3">
      <c r="A2" s="151"/>
      <c r="B2" s="151"/>
      <c r="C2" s="151"/>
      <c r="D2" s="151"/>
      <c r="E2" s="151"/>
      <c r="F2" s="151"/>
      <c r="G2" s="151"/>
      <c r="H2" s="151"/>
      <c r="I2" s="151"/>
      <c r="J2" s="151"/>
      <c r="K2" s="151"/>
      <c r="L2" s="151"/>
      <c r="M2" s="151"/>
      <c r="N2" s="151"/>
      <c r="O2" s="151"/>
      <c r="P2" s="151"/>
    </row>
    <row r="3" spans="1:16" x14ac:dyDescent="0.25">
      <c r="A3" s="2" t="s">
        <v>1</v>
      </c>
      <c r="B3" s="103" t="s">
        <v>65</v>
      </c>
      <c r="C3" s="103"/>
      <c r="D3" s="103"/>
      <c r="E3" s="103"/>
      <c r="F3" s="103"/>
      <c r="G3" s="103"/>
      <c r="H3" s="152"/>
      <c r="I3" s="101" t="s">
        <v>6</v>
      </c>
      <c r="J3" s="102"/>
      <c r="K3" s="153">
        <v>3</v>
      </c>
      <c r="L3" s="154"/>
      <c r="M3" s="101" t="s">
        <v>9</v>
      </c>
      <c r="N3" s="102"/>
      <c r="O3" s="102"/>
      <c r="P3" s="137"/>
    </row>
    <row r="4" spans="1:16" x14ac:dyDescent="0.25">
      <c r="A4" s="3" t="s">
        <v>2</v>
      </c>
      <c r="B4" s="119" t="s">
        <v>66</v>
      </c>
      <c r="C4" s="119"/>
      <c r="D4" s="119"/>
      <c r="E4" s="119"/>
      <c r="F4" s="119"/>
      <c r="G4" s="119"/>
      <c r="H4" s="141"/>
      <c r="I4" s="142" t="s">
        <v>7</v>
      </c>
      <c r="J4" s="143"/>
      <c r="K4" s="144">
        <v>30</v>
      </c>
      <c r="L4" s="145"/>
      <c r="M4" s="8" t="s">
        <v>10</v>
      </c>
      <c r="N4" s="9" t="s">
        <v>76</v>
      </c>
      <c r="O4" s="143" t="s">
        <v>11</v>
      </c>
      <c r="P4" s="146"/>
    </row>
    <row r="5" spans="1:16" ht="15.75" thickBot="1" x14ac:dyDescent="0.3">
      <c r="A5" s="4" t="s">
        <v>480</v>
      </c>
      <c r="B5" s="71">
        <v>62022</v>
      </c>
      <c r="C5" s="5" t="s">
        <v>481</v>
      </c>
      <c r="D5" s="70" t="s">
        <v>491</v>
      </c>
      <c r="E5" s="74"/>
      <c r="F5" s="5" t="s">
        <v>12</v>
      </c>
      <c r="G5" s="147">
        <v>321211730</v>
      </c>
      <c r="H5" s="126"/>
      <c r="I5" s="107" t="s">
        <v>8</v>
      </c>
      <c r="J5" s="108"/>
      <c r="K5" s="148">
        <v>400</v>
      </c>
      <c r="L5" s="149"/>
      <c r="M5" s="11">
        <v>350</v>
      </c>
      <c r="N5" s="10"/>
      <c r="O5" s="148"/>
      <c r="P5" s="149"/>
    </row>
    <row r="6" spans="1:16" ht="15.75" thickBot="1" x14ac:dyDescent="0.3">
      <c r="A6" s="12"/>
      <c r="B6" s="12"/>
      <c r="C6" s="12"/>
      <c r="D6" s="12"/>
      <c r="E6" s="12"/>
      <c r="F6" s="12"/>
      <c r="G6" s="12"/>
      <c r="H6" s="12"/>
      <c r="I6" s="12"/>
      <c r="J6" s="12"/>
      <c r="K6" s="12"/>
      <c r="L6" s="12"/>
      <c r="M6" s="12"/>
      <c r="N6" s="12"/>
      <c r="O6" s="12"/>
      <c r="P6" s="12"/>
    </row>
    <row r="7" spans="1:16" ht="15.75" thickBot="1" x14ac:dyDescent="0.3">
      <c r="A7" s="138" t="s">
        <v>31</v>
      </c>
      <c r="B7" s="139"/>
      <c r="C7" s="131"/>
      <c r="D7" s="131"/>
      <c r="E7" s="131"/>
      <c r="F7" s="131"/>
      <c r="G7" s="139" t="s">
        <v>32</v>
      </c>
      <c r="H7" s="139"/>
      <c r="I7" s="140"/>
      <c r="J7" s="140"/>
      <c r="K7" s="140"/>
      <c r="L7" s="139" t="s">
        <v>33</v>
      </c>
      <c r="M7" s="139"/>
      <c r="N7" s="131"/>
      <c r="O7" s="131"/>
      <c r="P7" s="132"/>
    </row>
    <row r="8" spans="1:16" ht="15.75" thickBot="1" x14ac:dyDescent="0.3">
      <c r="A8" s="133"/>
      <c r="B8" s="133"/>
      <c r="C8" s="133"/>
      <c r="D8" s="133"/>
      <c r="E8" s="133"/>
      <c r="F8" s="133"/>
      <c r="G8" s="133"/>
      <c r="H8" s="133"/>
      <c r="I8" s="133"/>
      <c r="J8" s="133"/>
      <c r="K8" s="133"/>
      <c r="L8" s="133"/>
      <c r="M8" s="133"/>
      <c r="N8" s="133"/>
      <c r="O8" s="133"/>
      <c r="P8" s="133"/>
    </row>
    <row r="9" spans="1:16" ht="15.75" thickBot="1" x14ac:dyDescent="0.3">
      <c r="A9" s="111" t="s">
        <v>13</v>
      </c>
      <c r="B9" s="112"/>
      <c r="C9" s="112"/>
      <c r="D9" s="112"/>
      <c r="E9" s="112"/>
      <c r="F9" s="112"/>
      <c r="G9" s="112"/>
      <c r="H9" s="112"/>
      <c r="I9" s="112"/>
      <c r="J9" s="112"/>
      <c r="K9" s="112"/>
      <c r="L9" s="112"/>
      <c r="M9" s="112"/>
      <c r="N9" s="112"/>
      <c r="O9" s="112"/>
      <c r="P9" s="113"/>
    </row>
    <row r="10" spans="1:16" s="6" customFormat="1" x14ac:dyDescent="0.25">
      <c r="A10" s="134" t="s">
        <v>1</v>
      </c>
      <c r="B10" s="135"/>
      <c r="C10" s="135" t="s">
        <v>3</v>
      </c>
      <c r="D10" s="135"/>
      <c r="E10" s="135" t="s">
        <v>4</v>
      </c>
      <c r="F10" s="135"/>
      <c r="G10" s="104" t="s">
        <v>20</v>
      </c>
      <c r="H10" s="105"/>
      <c r="I10" s="104" t="s">
        <v>21</v>
      </c>
      <c r="J10" s="136"/>
      <c r="K10" s="102" t="s">
        <v>5</v>
      </c>
      <c r="L10" s="102"/>
      <c r="M10" s="102"/>
      <c r="N10" s="102"/>
      <c r="O10" s="102"/>
      <c r="P10" s="137"/>
    </row>
    <row r="11" spans="1:16" x14ac:dyDescent="0.25">
      <c r="A11" s="118" t="s">
        <v>69</v>
      </c>
      <c r="B11" s="119"/>
      <c r="C11" s="119" t="s">
        <v>70</v>
      </c>
      <c r="D11" s="119"/>
      <c r="E11" s="119" t="s">
        <v>71</v>
      </c>
      <c r="F11" s="119"/>
      <c r="G11" s="120">
        <v>321211738</v>
      </c>
      <c r="H11" s="121"/>
      <c r="I11" s="120"/>
      <c r="J11" s="122"/>
      <c r="K11" s="129" t="s">
        <v>72</v>
      </c>
      <c r="L11" s="129"/>
      <c r="M11" s="129"/>
      <c r="N11" s="129"/>
      <c r="O11" s="129"/>
      <c r="P11" s="130"/>
    </row>
    <row r="12" spans="1:16" x14ac:dyDescent="0.25">
      <c r="A12" s="118" t="s">
        <v>73</v>
      </c>
      <c r="B12" s="119"/>
      <c r="C12" s="119" t="s">
        <v>74</v>
      </c>
      <c r="D12" s="119"/>
      <c r="E12" s="119" t="s">
        <v>75</v>
      </c>
      <c r="F12" s="119"/>
      <c r="G12" s="120"/>
      <c r="H12" s="121"/>
      <c r="I12" s="120"/>
      <c r="J12" s="122"/>
      <c r="K12" s="123"/>
      <c r="L12" s="123"/>
      <c r="M12" s="123"/>
      <c r="N12" s="123"/>
      <c r="O12" s="123"/>
      <c r="P12" s="124"/>
    </row>
    <row r="13" spans="1:16" x14ac:dyDescent="0.25">
      <c r="A13" s="118"/>
      <c r="B13" s="119"/>
      <c r="C13" s="119"/>
      <c r="D13" s="119"/>
      <c r="E13" s="119"/>
      <c r="F13" s="119"/>
      <c r="G13" s="120"/>
      <c r="H13" s="121"/>
      <c r="I13" s="120"/>
      <c r="J13" s="122"/>
      <c r="K13" s="123"/>
      <c r="L13" s="123"/>
      <c r="M13" s="123"/>
      <c r="N13" s="123"/>
      <c r="O13" s="123"/>
      <c r="P13" s="124"/>
    </row>
    <row r="14" spans="1:16" x14ac:dyDescent="0.25">
      <c r="A14" s="118"/>
      <c r="B14" s="119"/>
      <c r="C14" s="119"/>
      <c r="D14" s="119"/>
      <c r="E14" s="119"/>
      <c r="F14" s="119"/>
      <c r="G14" s="120"/>
      <c r="H14" s="121"/>
      <c r="I14" s="120"/>
      <c r="J14" s="122"/>
      <c r="K14" s="123"/>
      <c r="L14" s="123"/>
      <c r="M14" s="123"/>
      <c r="N14" s="123"/>
      <c r="O14" s="123"/>
      <c r="P14" s="124"/>
    </row>
    <row r="15" spans="1:16" x14ac:dyDescent="0.25">
      <c r="A15" s="118"/>
      <c r="B15" s="119"/>
      <c r="C15" s="119"/>
      <c r="D15" s="119"/>
      <c r="E15" s="119"/>
      <c r="F15" s="119"/>
      <c r="G15" s="120"/>
      <c r="H15" s="121"/>
      <c r="I15" s="120"/>
      <c r="J15" s="122"/>
      <c r="K15" s="123"/>
      <c r="L15" s="123"/>
      <c r="M15" s="123"/>
      <c r="N15" s="123"/>
      <c r="O15" s="123"/>
      <c r="P15" s="124"/>
    </row>
    <row r="16" spans="1:16" ht="15.75" thickBot="1" x14ac:dyDescent="0.3">
      <c r="A16" s="125"/>
      <c r="B16" s="109"/>
      <c r="C16" s="109"/>
      <c r="D16" s="109"/>
      <c r="E16" s="109"/>
      <c r="F16" s="109"/>
      <c r="G16" s="126"/>
      <c r="H16" s="127"/>
      <c r="I16" s="126"/>
      <c r="J16" s="128"/>
      <c r="K16" s="116"/>
      <c r="L16" s="116"/>
      <c r="M16" s="116"/>
      <c r="N16" s="116"/>
      <c r="O16" s="116"/>
      <c r="P16" s="117"/>
    </row>
    <row r="17" spans="1:21" ht="15.75" thickBot="1" x14ac:dyDescent="0.3">
      <c r="A17" s="100"/>
      <c r="B17" s="100"/>
      <c r="C17" s="100"/>
      <c r="D17" s="100"/>
      <c r="E17" s="100"/>
      <c r="F17" s="100"/>
      <c r="G17" s="100"/>
      <c r="H17" s="100"/>
      <c r="I17" s="100"/>
      <c r="J17" s="100"/>
      <c r="K17" s="100"/>
      <c r="L17" s="100"/>
      <c r="M17" s="100"/>
      <c r="N17" s="100"/>
      <c r="O17" s="100"/>
      <c r="P17" s="100"/>
    </row>
    <row r="18" spans="1:21" x14ac:dyDescent="0.25">
      <c r="A18" s="101" t="s">
        <v>23</v>
      </c>
      <c r="B18" s="102"/>
      <c r="C18" s="102"/>
      <c r="D18" s="103" t="s">
        <v>67</v>
      </c>
      <c r="E18" s="103"/>
      <c r="F18" s="103"/>
      <c r="G18" s="103"/>
      <c r="H18" s="103"/>
      <c r="I18" s="103"/>
      <c r="J18" s="104" t="s">
        <v>25</v>
      </c>
      <c r="K18" s="105"/>
      <c r="L18" s="103"/>
      <c r="M18" s="103"/>
      <c r="N18" s="103"/>
      <c r="O18" s="103"/>
      <c r="P18" s="106"/>
    </row>
    <row r="19" spans="1:21" ht="15.75" thickBot="1" x14ac:dyDescent="0.3">
      <c r="A19" s="107" t="s">
        <v>24</v>
      </c>
      <c r="B19" s="108"/>
      <c r="C19" s="108"/>
      <c r="D19" s="109" t="s">
        <v>68</v>
      </c>
      <c r="E19" s="109"/>
      <c r="F19" s="109"/>
      <c r="G19" s="109"/>
      <c r="H19" s="109"/>
      <c r="I19" s="109"/>
      <c r="J19" s="108" t="s">
        <v>26</v>
      </c>
      <c r="K19" s="108"/>
      <c r="L19" s="109"/>
      <c r="M19" s="109"/>
      <c r="N19" s="109"/>
      <c r="O19" s="109"/>
      <c r="P19" s="110"/>
    </row>
    <row r="20" spans="1:21" ht="15.75" thickBot="1" x14ac:dyDescent="0.3">
      <c r="A20" s="100"/>
      <c r="B20" s="100"/>
      <c r="C20" s="100"/>
      <c r="D20" s="100"/>
      <c r="E20" s="100"/>
      <c r="F20" s="100"/>
      <c r="G20" s="100"/>
      <c r="H20" s="100"/>
      <c r="I20" s="100"/>
      <c r="J20" s="100"/>
      <c r="K20" s="100"/>
      <c r="L20" s="100"/>
      <c r="M20" s="100"/>
      <c r="N20" s="100"/>
      <c r="O20" s="100"/>
      <c r="P20" s="100"/>
    </row>
    <row r="21" spans="1:21" ht="15.75" thickBot="1" x14ac:dyDescent="0.3">
      <c r="A21" s="111" t="s">
        <v>27</v>
      </c>
      <c r="B21" s="112"/>
      <c r="C21" s="112" t="s">
        <v>28</v>
      </c>
      <c r="D21" s="112"/>
      <c r="E21" s="112"/>
      <c r="F21" s="112"/>
      <c r="G21" s="112"/>
      <c r="H21" s="112"/>
      <c r="I21" s="112"/>
      <c r="J21" s="112"/>
      <c r="K21" s="112"/>
      <c r="L21" s="112"/>
      <c r="M21" s="112"/>
      <c r="N21" s="112"/>
      <c r="O21" s="112"/>
      <c r="P21" s="113"/>
      <c r="Q21" s="7"/>
      <c r="R21" s="7"/>
      <c r="S21" s="7"/>
      <c r="T21" s="7"/>
      <c r="U21" s="7"/>
    </row>
    <row r="22" spans="1:21" ht="30" customHeight="1" x14ac:dyDescent="0.25">
      <c r="A22" s="114">
        <v>42109</v>
      </c>
      <c r="B22" s="115"/>
      <c r="C22" s="155" t="s">
        <v>114</v>
      </c>
      <c r="D22" s="155"/>
      <c r="E22" s="155"/>
      <c r="F22" s="155"/>
      <c r="G22" s="155"/>
      <c r="H22" s="155"/>
      <c r="I22" s="155"/>
      <c r="J22" s="155"/>
      <c r="K22" s="155"/>
      <c r="L22" s="155"/>
      <c r="M22" s="155"/>
      <c r="N22" s="155"/>
      <c r="O22" s="155"/>
      <c r="P22" s="156"/>
      <c r="Q22" s="7"/>
      <c r="R22" s="7"/>
      <c r="S22" s="7"/>
      <c r="T22" s="7"/>
      <c r="U22" s="7"/>
    </row>
    <row r="23" spans="1:21" ht="30" customHeight="1" x14ac:dyDescent="0.25">
      <c r="A23" s="89">
        <v>42114</v>
      </c>
      <c r="B23" s="90"/>
      <c r="C23" s="91" t="s">
        <v>115</v>
      </c>
      <c r="D23" s="91"/>
      <c r="E23" s="91"/>
      <c r="F23" s="91"/>
      <c r="G23" s="91"/>
      <c r="H23" s="91"/>
      <c r="I23" s="91"/>
      <c r="J23" s="91"/>
      <c r="K23" s="91"/>
      <c r="L23" s="91"/>
      <c r="M23" s="91"/>
      <c r="N23" s="91"/>
      <c r="O23" s="91"/>
      <c r="P23" s="92"/>
      <c r="Q23" s="7"/>
      <c r="R23" s="7"/>
      <c r="S23" s="7"/>
      <c r="T23" s="7"/>
      <c r="U23" s="7"/>
    </row>
    <row r="24" spans="1:21" ht="30" customHeight="1" x14ac:dyDescent="0.25">
      <c r="A24" s="89"/>
      <c r="B24" s="90"/>
      <c r="C24" s="91"/>
      <c r="D24" s="91"/>
      <c r="E24" s="91"/>
      <c r="F24" s="91"/>
      <c r="G24" s="91"/>
      <c r="H24" s="91"/>
      <c r="I24" s="91"/>
      <c r="J24" s="91"/>
      <c r="K24" s="91"/>
      <c r="L24" s="91"/>
      <c r="M24" s="91"/>
      <c r="N24" s="91"/>
      <c r="O24" s="91"/>
      <c r="P24" s="92"/>
      <c r="Q24" s="7"/>
      <c r="R24" s="7"/>
      <c r="S24" s="7"/>
      <c r="T24" s="7"/>
      <c r="U24" s="7"/>
    </row>
    <row r="25" spans="1:21" ht="30" customHeight="1" x14ac:dyDescent="0.25">
      <c r="A25" s="89"/>
      <c r="B25" s="90"/>
      <c r="C25" s="91"/>
      <c r="D25" s="91"/>
      <c r="E25" s="91"/>
      <c r="F25" s="91"/>
      <c r="G25" s="91"/>
      <c r="H25" s="91"/>
      <c r="I25" s="91"/>
      <c r="J25" s="91"/>
      <c r="K25" s="91"/>
      <c r="L25" s="91"/>
      <c r="M25" s="91"/>
      <c r="N25" s="91"/>
      <c r="O25" s="91"/>
      <c r="P25" s="92"/>
    </row>
    <row r="26" spans="1:21" ht="30" customHeight="1" thickBot="1" x14ac:dyDescent="0.3">
      <c r="A26" s="93"/>
      <c r="B26" s="94"/>
      <c r="C26" s="95"/>
      <c r="D26" s="95"/>
      <c r="E26" s="95"/>
      <c r="F26" s="95"/>
      <c r="G26" s="95"/>
      <c r="H26" s="95"/>
      <c r="I26" s="95"/>
      <c r="J26" s="95"/>
      <c r="K26" s="95"/>
      <c r="L26" s="95"/>
      <c r="M26" s="95"/>
      <c r="N26" s="95"/>
      <c r="O26" s="95"/>
      <c r="P26" s="96"/>
    </row>
  </sheetData>
  <mergeCells count="86">
    <mergeCell ref="A1:P1"/>
    <mergeCell ref="A2:P2"/>
    <mergeCell ref="B3:H3"/>
    <mergeCell ref="I3:J3"/>
    <mergeCell ref="K3:L3"/>
    <mergeCell ref="M3:P3"/>
    <mergeCell ref="B4:H4"/>
    <mergeCell ref="I4:J4"/>
    <mergeCell ref="K4:L4"/>
    <mergeCell ref="O4:P4"/>
    <mergeCell ref="G5:H5"/>
    <mergeCell ref="I5:J5"/>
    <mergeCell ref="K5:L5"/>
    <mergeCell ref="O5:P5"/>
    <mergeCell ref="N7:P7"/>
    <mergeCell ref="A8:P8"/>
    <mergeCell ref="A9:P9"/>
    <mergeCell ref="A10:B10"/>
    <mergeCell ref="C10:D10"/>
    <mergeCell ref="E10:F10"/>
    <mergeCell ref="G10:H10"/>
    <mergeCell ref="I10:J10"/>
    <mergeCell ref="K10:P10"/>
    <mergeCell ref="A7:B7"/>
    <mergeCell ref="C7:F7"/>
    <mergeCell ref="G7:H7"/>
    <mergeCell ref="I7:K7"/>
    <mergeCell ref="L7:M7"/>
    <mergeCell ref="K12:P12"/>
    <mergeCell ref="A11:B11"/>
    <mergeCell ref="C11:D11"/>
    <mergeCell ref="E11:F11"/>
    <mergeCell ref="G11:H11"/>
    <mergeCell ref="I11:J11"/>
    <mergeCell ref="K11:P11"/>
    <mergeCell ref="A12:B12"/>
    <mergeCell ref="C12:D12"/>
    <mergeCell ref="E12:F12"/>
    <mergeCell ref="G12:H12"/>
    <mergeCell ref="I12:J12"/>
    <mergeCell ref="K14:P14"/>
    <mergeCell ref="A13:B13"/>
    <mergeCell ref="C13:D13"/>
    <mergeCell ref="E13:F13"/>
    <mergeCell ref="G13:H13"/>
    <mergeCell ref="I13:J13"/>
    <mergeCell ref="K13:P13"/>
    <mergeCell ref="A14:B14"/>
    <mergeCell ref="C14:D14"/>
    <mergeCell ref="E14:F14"/>
    <mergeCell ref="G14:H14"/>
    <mergeCell ref="I14:J14"/>
    <mergeCell ref="K16:P16"/>
    <mergeCell ref="A15:B15"/>
    <mergeCell ref="C15:D15"/>
    <mergeCell ref="E15:F15"/>
    <mergeCell ref="G15:H15"/>
    <mergeCell ref="I15:J15"/>
    <mergeCell ref="K15:P15"/>
    <mergeCell ref="A16:B16"/>
    <mergeCell ref="C16:D16"/>
    <mergeCell ref="E16:F16"/>
    <mergeCell ref="G16:H16"/>
    <mergeCell ref="I16:J16"/>
    <mergeCell ref="A23:B23"/>
    <mergeCell ref="C23:P23"/>
    <mergeCell ref="A17:P17"/>
    <mergeCell ref="A18:C18"/>
    <mergeCell ref="D18:I18"/>
    <mergeCell ref="J18:K18"/>
    <mergeCell ref="L18:P18"/>
    <mergeCell ref="A19:C19"/>
    <mergeCell ref="D19:I19"/>
    <mergeCell ref="J19:K19"/>
    <mergeCell ref="L19:P19"/>
    <mergeCell ref="A20:P20"/>
    <mergeCell ref="A21:B21"/>
    <mergeCell ref="C21:P21"/>
    <mergeCell ref="A22:B22"/>
    <mergeCell ref="C22:P22"/>
    <mergeCell ref="A24:B24"/>
    <mergeCell ref="C24:P24"/>
    <mergeCell ref="A25:B25"/>
    <mergeCell ref="C25:P25"/>
    <mergeCell ref="A26:B26"/>
    <mergeCell ref="C26:P26"/>
  </mergeCells>
  <hyperlinks>
    <hyperlink ref="K11" r:id="rId1"/>
  </hyperlinks>
  <pageMargins left="0.25" right="0.25" top="0.75" bottom="0.75" header="0.3" footer="0.3"/>
  <pageSetup paperSize="9" orientation="landscape" horizontalDpi="0" verticalDpi="0"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U26"/>
  <sheetViews>
    <sheetView tabSelected="1" zoomScale="115" zoomScaleNormal="115" workbookViewId="0">
      <selection activeCell="M5" sqref="M5:N5"/>
    </sheetView>
  </sheetViews>
  <sheetFormatPr baseColWidth="10" defaultColWidth="9.140625" defaultRowHeight="15" x14ac:dyDescent="0.25"/>
  <cols>
    <col min="1" max="16" width="8.7109375" style="1" customWidth="1"/>
    <col min="17" max="16384" width="9.140625" style="1"/>
  </cols>
  <sheetData>
    <row r="1" spans="1:16" ht="28.5" x14ac:dyDescent="0.25">
      <c r="A1" s="150" t="s">
        <v>77</v>
      </c>
      <c r="B1" s="150"/>
      <c r="C1" s="150"/>
      <c r="D1" s="150"/>
      <c r="E1" s="150"/>
      <c r="F1" s="150"/>
      <c r="G1" s="150"/>
      <c r="H1" s="150"/>
      <c r="I1" s="150"/>
      <c r="J1" s="150"/>
      <c r="K1" s="150"/>
      <c r="L1" s="150"/>
      <c r="M1" s="150"/>
      <c r="N1" s="150"/>
      <c r="O1" s="150"/>
      <c r="P1" s="150"/>
    </row>
    <row r="2" spans="1:16" ht="23.25" customHeight="1" thickBot="1" x14ac:dyDescent="0.3">
      <c r="A2" s="151"/>
      <c r="B2" s="151"/>
      <c r="C2" s="151"/>
      <c r="D2" s="151"/>
      <c r="E2" s="151"/>
      <c r="F2" s="151"/>
      <c r="G2" s="151"/>
      <c r="H2" s="151"/>
      <c r="I2" s="151"/>
      <c r="J2" s="151"/>
      <c r="K2" s="151"/>
      <c r="L2" s="151"/>
      <c r="M2" s="151"/>
      <c r="N2" s="151"/>
      <c r="O2" s="151"/>
      <c r="P2" s="151"/>
    </row>
    <row r="3" spans="1:16" x14ac:dyDescent="0.25">
      <c r="A3" s="2" t="s">
        <v>1</v>
      </c>
      <c r="B3" s="103" t="s">
        <v>77</v>
      </c>
      <c r="C3" s="103"/>
      <c r="D3" s="103"/>
      <c r="E3" s="103"/>
      <c r="F3" s="103"/>
      <c r="G3" s="103"/>
      <c r="H3" s="152"/>
      <c r="I3" s="101" t="s">
        <v>6</v>
      </c>
      <c r="J3" s="102"/>
      <c r="K3" s="153" t="s">
        <v>37</v>
      </c>
      <c r="L3" s="154"/>
      <c r="M3" s="101" t="s">
        <v>9</v>
      </c>
      <c r="N3" s="102"/>
      <c r="O3" s="102"/>
      <c r="P3" s="137"/>
    </row>
    <row r="4" spans="1:16" x14ac:dyDescent="0.25">
      <c r="A4" s="3" t="s">
        <v>2</v>
      </c>
      <c r="B4" s="119" t="s">
        <v>78</v>
      </c>
      <c r="C4" s="119"/>
      <c r="D4" s="119"/>
      <c r="E4" s="119"/>
      <c r="F4" s="119"/>
      <c r="G4" s="119"/>
      <c r="H4" s="141"/>
      <c r="I4" s="142" t="s">
        <v>7</v>
      </c>
      <c r="J4" s="143"/>
      <c r="K4" s="144">
        <v>12</v>
      </c>
      <c r="L4" s="145"/>
      <c r="M4" s="8" t="s">
        <v>10</v>
      </c>
      <c r="N4" s="9" t="s">
        <v>76</v>
      </c>
      <c r="O4" s="143" t="s">
        <v>11</v>
      </c>
      <c r="P4" s="146"/>
    </row>
    <row r="5" spans="1:16" ht="15.75" thickBot="1" x14ac:dyDescent="0.3">
      <c r="A5" s="4" t="s">
        <v>480</v>
      </c>
      <c r="B5" s="71">
        <v>89011</v>
      </c>
      <c r="C5" s="5" t="s">
        <v>481</v>
      </c>
      <c r="D5" s="70" t="s">
        <v>492</v>
      </c>
      <c r="E5" s="74"/>
      <c r="F5" s="5" t="s">
        <v>12</v>
      </c>
      <c r="G5" s="147">
        <v>386484848</v>
      </c>
      <c r="H5" s="126"/>
      <c r="I5" s="107" t="s">
        <v>8</v>
      </c>
      <c r="J5" s="108"/>
      <c r="K5" s="148">
        <v>98</v>
      </c>
      <c r="L5" s="149"/>
      <c r="M5" s="11"/>
      <c r="N5" s="10"/>
      <c r="O5" s="148">
        <v>156</v>
      </c>
      <c r="P5" s="149"/>
    </row>
    <row r="6" spans="1:16" ht="15.75" thickBot="1" x14ac:dyDescent="0.3">
      <c r="A6" s="159"/>
      <c r="B6" s="159"/>
      <c r="C6" s="159"/>
      <c r="D6" s="159"/>
      <c r="E6" s="159"/>
      <c r="F6" s="159"/>
      <c r="G6" s="159"/>
      <c r="H6" s="159"/>
      <c r="I6" s="159"/>
      <c r="J6" s="159"/>
      <c r="K6" s="159"/>
      <c r="L6" s="159"/>
      <c r="M6" s="159"/>
      <c r="N6" s="159"/>
      <c r="O6" s="159"/>
      <c r="P6" s="159"/>
    </row>
    <row r="7" spans="1:16" ht="15.75" thickBot="1" x14ac:dyDescent="0.3">
      <c r="A7" s="138" t="s">
        <v>31</v>
      </c>
      <c r="B7" s="139"/>
      <c r="C7" s="131"/>
      <c r="D7" s="131"/>
      <c r="E7" s="131"/>
      <c r="F7" s="131"/>
      <c r="G7" s="139" t="s">
        <v>32</v>
      </c>
      <c r="H7" s="139"/>
      <c r="I7" s="140"/>
      <c r="J7" s="140"/>
      <c r="K7" s="140"/>
      <c r="L7" s="139" t="s">
        <v>33</v>
      </c>
      <c r="M7" s="139"/>
      <c r="N7" s="131"/>
      <c r="O7" s="131"/>
      <c r="P7" s="132"/>
    </row>
    <row r="8" spans="1:16" ht="15.75" thickBot="1" x14ac:dyDescent="0.3">
      <c r="A8" s="133"/>
      <c r="B8" s="133"/>
      <c r="C8" s="133"/>
      <c r="D8" s="133"/>
      <c r="E8" s="133"/>
      <c r="F8" s="133"/>
      <c r="G8" s="133"/>
      <c r="H8" s="133"/>
      <c r="I8" s="133"/>
      <c r="J8" s="133"/>
      <c r="K8" s="133"/>
      <c r="L8" s="133"/>
      <c r="M8" s="133"/>
      <c r="N8" s="133"/>
      <c r="O8" s="133"/>
      <c r="P8" s="133"/>
    </row>
    <row r="9" spans="1:16" ht="15.75" thickBot="1" x14ac:dyDescent="0.3">
      <c r="A9" s="111" t="s">
        <v>13</v>
      </c>
      <c r="B9" s="112"/>
      <c r="C9" s="112"/>
      <c r="D9" s="112"/>
      <c r="E9" s="112"/>
      <c r="F9" s="112"/>
      <c r="G9" s="112"/>
      <c r="H9" s="112"/>
      <c r="I9" s="112"/>
      <c r="J9" s="112"/>
      <c r="K9" s="112"/>
      <c r="L9" s="112"/>
      <c r="M9" s="112"/>
      <c r="N9" s="112"/>
      <c r="O9" s="112"/>
      <c r="P9" s="113"/>
    </row>
    <row r="10" spans="1:16" s="6" customFormat="1" x14ac:dyDescent="0.25">
      <c r="A10" s="134" t="s">
        <v>1</v>
      </c>
      <c r="B10" s="135"/>
      <c r="C10" s="135" t="s">
        <v>3</v>
      </c>
      <c r="D10" s="135"/>
      <c r="E10" s="135" t="s">
        <v>4</v>
      </c>
      <c r="F10" s="135"/>
      <c r="G10" s="104" t="s">
        <v>20</v>
      </c>
      <c r="H10" s="105"/>
      <c r="I10" s="104" t="s">
        <v>21</v>
      </c>
      <c r="J10" s="136"/>
      <c r="K10" s="102" t="s">
        <v>5</v>
      </c>
      <c r="L10" s="102"/>
      <c r="M10" s="102"/>
      <c r="N10" s="102"/>
      <c r="O10" s="102"/>
      <c r="P10" s="137"/>
    </row>
    <row r="11" spans="1:16" x14ac:dyDescent="0.25">
      <c r="A11" s="118" t="s">
        <v>79</v>
      </c>
      <c r="B11" s="119"/>
      <c r="C11" s="119" t="s">
        <v>80</v>
      </c>
      <c r="D11" s="119"/>
      <c r="E11" s="119" t="s">
        <v>71</v>
      </c>
      <c r="F11" s="119"/>
      <c r="G11" s="120">
        <v>386484465</v>
      </c>
      <c r="H11" s="121"/>
      <c r="I11" s="120"/>
      <c r="J11" s="122"/>
      <c r="K11" s="129" t="s">
        <v>81</v>
      </c>
      <c r="L11" s="129"/>
      <c r="M11" s="129"/>
      <c r="N11" s="129"/>
      <c r="O11" s="129"/>
      <c r="P11" s="130"/>
    </row>
    <row r="12" spans="1:16" x14ac:dyDescent="0.25">
      <c r="A12" s="118" t="s">
        <v>82</v>
      </c>
      <c r="B12" s="119"/>
      <c r="C12" s="119" t="s">
        <v>83</v>
      </c>
      <c r="D12" s="119"/>
      <c r="E12" s="119" t="s">
        <v>71</v>
      </c>
      <c r="F12" s="119"/>
      <c r="G12" s="120"/>
      <c r="H12" s="121"/>
      <c r="I12" s="120"/>
      <c r="J12" s="122"/>
      <c r="K12" s="158" t="s">
        <v>84</v>
      </c>
      <c r="L12" s="123"/>
      <c r="M12" s="123"/>
      <c r="N12" s="123"/>
      <c r="O12" s="123"/>
      <c r="P12" s="124"/>
    </row>
    <row r="13" spans="1:16" x14ac:dyDescent="0.25">
      <c r="A13" s="118"/>
      <c r="B13" s="119"/>
      <c r="C13" s="119"/>
      <c r="D13" s="119"/>
      <c r="E13" s="119"/>
      <c r="F13" s="119"/>
      <c r="G13" s="120"/>
      <c r="H13" s="121"/>
      <c r="I13" s="120"/>
      <c r="J13" s="122"/>
      <c r="K13" s="123"/>
      <c r="L13" s="123"/>
      <c r="M13" s="123"/>
      <c r="N13" s="123"/>
      <c r="O13" s="123"/>
      <c r="P13" s="124"/>
    </row>
    <row r="14" spans="1:16" x14ac:dyDescent="0.25">
      <c r="A14" s="118"/>
      <c r="B14" s="119"/>
      <c r="C14" s="119"/>
      <c r="D14" s="119"/>
      <c r="E14" s="119"/>
      <c r="F14" s="119"/>
      <c r="G14" s="120"/>
      <c r="H14" s="121"/>
      <c r="I14" s="120"/>
      <c r="J14" s="122"/>
      <c r="K14" s="123"/>
      <c r="L14" s="123"/>
      <c r="M14" s="123"/>
      <c r="N14" s="123"/>
      <c r="O14" s="123"/>
      <c r="P14" s="124"/>
    </row>
    <row r="15" spans="1:16" x14ac:dyDescent="0.25">
      <c r="A15" s="118"/>
      <c r="B15" s="119"/>
      <c r="C15" s="119"/>
      <c r="D15" s="119"/>
      <c r="E15" s="119"/>
      <c r="F15" s="119"/>
      <c r="G15" s="120"/>
      <c r="H15" s="121"/>
      <c r="I15" s="120"/>
      <c r="J15" s="122"/>
      <c r="K15" s="123"/>
      <c r="L15" s="123"/>
      <c r="M15" s="123"/>
      <c r="N15" s="123"/>
      <c r="O15" s="123"/>
      <c r="P15" s="124"/>
    </row>
    <row r="16" spans="1:16" ht="15.75" thickBot="1" x14ac:dyDescent="0.3">
      <c r="A16" s="125"/>
      <c r="B16" s="109"/>
      <c r="C16" s="109"/>
      <c r="D16" s="109"/>
      <c r="E16" s="109"/>
      <c r="F16" s="109"/>
      <c r="G16" s="126"/>
      <c r="H16" s="127"/>
      <c r="I16" s="126"/>
      <c r="J16" s="128"/>
      <c r="K16" s="116"/>
      <c r="L16" s="116"/>
      <c r="M16" s="116"/>
      <c r="N16" s="116"/>
      <c r="O16" s="116"/>
      <c r="P16" s="117"/>
    </row>
    <row r="17" spans="1:21" ht="15.75" thickBot="1" x14ac:dyDescent="0.3">
      <c r="A17" s="100"/>
      <c r="B17" s="100"/>
      <c r="C17" s="100"/>
      <c r="D17" s="100"/>
      <c r="E17" s="100"/>
      <c r="F17" s="100"/>
      <c r="G17" s="100"/>
      <c r="H17" s="100"/>
      <c r="I17" s="100"/>
      <c r="J17" s="100"/>
      <c r="K17" s="100"/>
      <c r="L17" s="100"/>
      <c r="M17" s="100"/>
      <c r="N17" s="100"/>
      <c r="O17" s="100"/>
      <c r="P17" s="100"/>
    </row>
    <row r="18" spans="1:21" x14ac:dyDescent="0.25">
      <c r="A18" s="101" t="s">
        <v>23</v>
      </c>
      <c r="B18" s="102"/>
      <c r="C18" s="102"/>
      <c r="D18" s="103" t="s">
        <v>85</v>
      </c>
      <c r="E18" s="103"/>
      <c r="F18" s="103"/>
      <c r="G18" s="103"/>
      <c r="H18" s="103"/>
      <c r="I18" s="103"/>
      <c r="J18" s="104" t="s">
        <v>25</v>
      </c>
      <c r="K18" s="105"/>
      <c r="L18" s="103"/>
      <c r="M18" s="103"/>
      <c r="N18" s="103"/>
      <c r="O18" s="103"/>
      <c r="P18" s="106"/>
    </row>
    <row r="19" spans="1:21" ht="15.75" thickBot="1" x14ac:dyDescent="0.3">
      <c r="A19" s="107" t="s">
        <v>24</v>
      </c>
      <c r="B19" s="108"/>
      <c r="C19" s="108"/>
      <c r="D19" s="160" t="s">
        <v>86</v>
      </c>
      <c r="E19" s="109"/>
      <c r="F19" s="109"/>
      <c r="G19" s="109"/>
      <c r="H19" s="109"/>
      <c r="I19" s="109"/>
      <c r="J19" s="108" t="s">
        <v>26</v>
      </c>
      <c r="K19" s="108"/>
      <c r="L19" s="109"/>
      <c r="M19" s="109"/>
      <c r="N19" s="109"/>
      <c r="O19" s="109"/>
      <c r="P19" s="110"/>
    </row>
    <row r="20" spans="1:21" ht="15.75" thickBot="1" x14ac:dyDescent="0.3">
      <c r="A20" s="100"/>
      <c r="B20" s="100"/>
      <c r="C20" s="100"/>
      <c r="D20" s="100"/>
      <c r="E20" s="100"/>
      <c r="F20" s="100"/>
      <c r="G20" s="100"/>
      <c r="H20" s="100"/>
      <c r="I20" s="100"/>
      <c r="J20" s="100"/>
      <c r="K20" s="100"/>
      <c r="L20" s="100"/>
      <c r="M20" s="100"/>
      <c r="N20" s="100"/>
      <c r="O20" s="100"/>
      <c r="P20" s="100"/>
    </row>
    <row r="21" spans="1:21" ht="15.75" thickBot="1" x14ac:dyDescent="0.3">
      <c r="A21" s="111" t="s">
        <v>27</v>
      </c>
      <c r="B21" s="112"/>
      <c r="C21" s="112" t="s">
        <v>28</v>
      </c>
      <c r="D21" s="112"/>
      <c r="E21" s="112"/>
      <c r="F21" s="112"/>
      <c r="G21" s="112"/>
      <c r="H21" s="112"/>
      <c r="I21" s="112"/>
      <c r="J21" s="112"/>
      <c r="K21" s="112"/>
      <c r="L21" s="112"/>
      <c r="M21" s="112"/>
      <c r="N21" s="112"/>
      <c r="O21" s="112"/>
      <c r="P21" s="113"/>
      <c r="Q21" s="7"/>
      <c r="R21" s="7"/>
      <c r="S21" s="7"/>
      <c r="T21" s="7"/>
      <c r="U21" s="7"/>
    </row>
    <row r="22" spans="1:21" ht="30" customHeight="1" x14ac:dyDescent="0.25">
      <c r="A22" s="114">
        <v>42109</v>
      </c>
      <c r="B22" s="115"/>
      <c r="C22" s="155" t="s">
        <v>87</v>
      </c>
      <c r="D22" s="155"/>
      <c r="E22" s="155"/>
      <c r="F22" s="155"/>
      <c r="G22" s="155"/>
      <c r="H22" s="155"/>
      <c r="I22" s="155"/>
      <c r="J22" s="155"/>
      <c r="K22" s="155"/>
      <c r="L22" s="155"/>
      <c r="M22" s="155"/>
      <c r="N22" s="155"/>
      <c r="O22" s="155"/>
      <c r="P22" s="156"/>
      <c r="Q22" s="7"/>
      <c r="R22" s="7"/>
      <c r="S22" s="7"/>
      <c r="T22" s="7"/>
      <c r="U22" s="7"/>
    </row>
    <row r="23" spans="1:21" ht="30" customHeight="1" x14ac:dyDescent="0.25">
      <c r="A23" s="89"/>
      <c r="B23" s="90"/>
      <c r="C23" s="91"/>
      <c r="D23" s="91"/>
      <c r="E23" s="91"/>
      <c r="F23" s="91"/>
      <c r="G23" s="91"/>
      <c r="H23" s="91"/>
      <c r="I23" s="91"/>
      <c r="J23" s="91"/>
      <c r="K23" s="91"/>
      <c r="L23" s="91"/>
      <c r="M23" s="91"/>
      <c r="N23" s="91"/>
      <c r="O23" s="91"/>
      <c r="P23" s="92"/>
      <c r="Q23" s="7"/>
      <c r="R23" s="7"/>
      <c r="S23" s="7"/>
      <c r="T23" s="7"/>
      <c r="U23" s="7"/>
    </row>
    <row r="24" spans="1:21" ht="30" customHeight="1" x14ac:dyDescent="0.25">
      <c r="A24" s="89"/>
      <c r="B24" s="90"/>
      <c r="C24" s="91"/>
      <c r="D24" s="91"/>
      <c r="E24" s="91"/>
      <c r="F24" s="91"/>
      <c r="G24" s="91"/>
      <c r="H24" s="91"/>
      <c r="I24" s="91"/>
      <c r="J24" s="91"/>
      <c r="K24" s="91"/>
      <c r="L24" s="91"/>
      <c r="M24" s="91"/>
      <c r="N24" s="91"/>
      <c r="O24" s="91"/>
      <c r="P24" s="92"/>
      <c r="Q24" s="7"/>
      <c r="R24" s="7"/>
      <c r="S24" s="7"/>
      <c r="T24" s="7"/>
      <c r="U24" s="7"/>
    </row>
    <row r="25" spans="1:21" ht="30" customHeight="1" x14ac:dyDescent="0.25">
      <c r="A25" s="89"/>
      <c r="B25" s="90"/>
      <c r="C25" s="91"/>
      <c r="D25" s="91"/>
      <c r="E25" s="91"/>
      <c r="F25" s="91"/>
      <c r="G25" s="91"/>
      <c r="H25" s="91"/>
      <c r="I25" s="91"/>
      <c r="J25" s="91"/>
      <c r="K25" s="91"/>
      <c r="L25" s="91"/>
      <c r="M25" s="91"/>
      <c r="N25" s="91"/>
      <c r="O25" s="91"/>
      <c r="P25" s="92"/>
    </row>
    <row r="26" spans="1:21" ht="30" customHeight="1" thickBot="1" x14ac:dyDescent="0.3">
      <c r="A26" s="93"/>
      <c r="B26" s="94"/>
      <c r="C26" s="95"/>
      <c r="D26" s="95"/>
      <c r="E26" s="95"/>
      <c r="F26" s="95"/>
      <c r="G26" s="95"/>
      <c r="H26" s="95"/>
      <c r="I26" s="95"/>
      <c r="J26" s="95"/>
      <c r="K26" s="95"/>
      <c r="L26" s="95"/>
      <c r="M26" s="95"/>
      <c r="N26" s="95"/>
      <c r="O26" s="95"/>
      <c r="P26" s="96"/>
    </row>
  </sheetData>
  <mergeCells count="87">
    <mergeCell ref="A1:P1"/>
    <mergeCell ref="A2:P2"/>
    <mergeCell ref="B3:H3"/>
    <mergeCell ref="I3:J3"/>
    <mergeCell ref="K3:L3"/>
    <mergeCell ref="M3:P3"/>
    <mergeCell ref="N7:P7"/>
    <mergeCell ref="B4:H4"/>
    <mergeCell ref="I4:J4"/>
    <mergeCell ref="K4:L4"/>
    <mergeCell ref="O4:P4"/>
    <mergeCell ref="G5:H5"/>
    <mergeCell ref="I5:J5"/>
    <mergeCell ref="K5:L5"/>
    <mergeCell ref="O5:P5"/>
    <mergeCell ref="A7:B7"/>
    <mergeCell ref="C7:F7"/>
    <mergeCell ref="G7:H7"/>
    <mergeCell ref="I7:K7"/>
    <mergeCell ref="L7:M7"/>
    <mergeCell ref="A6:P6"/>
    <mergeCell ref="A8:P8"/>
    <mergeCell ref="A9:P9"/>
    <mergeCell ref="A10:B10"/>
    <mergeCell ref="C10:D10"/>
    <mergeCell ref="E10:F10"/>
    <mergeCell ref="G10:H10"/>
    <mergeCell ref="I10:J10"/>
    <mergeCell ref="K10:P10"/>
    <mergeCell ref="K12:P12"/>
    <mergeCell ref="A11:B11"/>
    <mergeCell ref="C11:D11"/>
    <mergeCell ref="E11:F11"/>
    <mergeCell ref="G11:H11"/>
    <mergeCell ref="I11:J11"/>
    <mergeCell ref="K11:P11"/>
    <mergeCell ref="A12:B12"/>
    <mergeCell ref="C12:D12"/>
    <mergeCell ref="E12:F12"/>
    <mergeCell ref="G12:H12"/>
    <mergeCell ref="I12:J12"/>
    <mergeCell ref="K15:P15"/>
    <mergeCell ref="K14:P14"/>
    <mergeCell ref="A13:B13"/>
    <mergeCell ref="C13:D13"/>
    <mergeCell ref="E13:F13"/>
    <mergeCell ref="G13:H13"/>
    <mergeCell ref="I13:J13"/>
    <mergeCell ref="K13:P13"/>
    <mergeCell ref="A14:B14"/>
    <mergeCell ref="C14:D14"/>
    <mergeCell ref="E14:F14"/>
    <mergeCell ref="G14:H14"/>
    <mergeCell ref="I14:J14"/>
    <mergeCell ref="A15:B15"/>
    <mergeCell ref="C15:D15"/>
    <mergeCell ref="E15:F15"/>
    <mergeCell ref="G15:H15"/>
    <mergeCell ref="I15:J15"/>
    <mergeCell ref="A26:B26"/>
    <mergeCell ref="C26:P26"/>
    <mergeCell ref="A20:P20"/>
    <mergeCell ref="A21:B21"/>
    <mergeCell ref="C21:P21"/>
    <mergeCell ref="A22:B22"/>
    <mergeCell ref="C22:P22"/>
    <mergeCell ref="A23:B23"/>
    <mergeCell ref="C23:P23"/>
    <mergeCell ref="A24:B24"/>
    <mergeCell ref="C24:P24"/>
    <mergeCell ref="A25:B25"/>
    <mergeCell ref="C25:P25"/>
    <mergeCell ref="A19:C19"/>
    <mergeCell ref="D19:I19"/>
    <mergeCell ref="J19:K19"/>
    <mergeCell ref="L19:P19"/>
    <mergeCell ref="A16:B16"/>
    <mergeCell ref="C16:D16"/>
    <mergeCell ref="A17:P17"/>
    <mergeCell ref="A18:C18"/>
    <mergeCell ref="D18:I18"/>
    <mergeCell ref="J18:K18"/>
    <mergeCell ref="L18:P18"/>
    <mergeCell ref="E16:F16"/>
    <mergeCell ref="G16:H16"/>
    <mergeCell ref="I16:J16"/>
    <mergeCell ref="K16:P16"/>
  </mergeCells>
  <hyperlinks>
    <hyperlink ref="K11" r:id="rId1"/>
    <hyperlink ref="K12" r:id="rId2"/>
    <hyperlink ref="D19" r:id="rId3"/>
  </hyperlinks>
  <pageMargins left="0.25" right="0.25" top="0.75" bottom="0.75" header="0.3" footer="0.3"/>
  <pageSetup paperSize="9" orientation="landscape" horizontalDpi="0" verticalDpi="0"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dimension ref="A1:U26"/>
  <sheetViews>
    <sheetView tabSelected="1" zoomScale="115" zoomScaleNormal="115" workbookViewId="0">
      <selection activeCell="M5" sqref="M5:N5"/>
    </sheetView>
  </sheetViews>
  <sheetFormatPr baseColWidth="10" defaultColWidth="9.140625" defaultRowHeight="15" x14ac:dyDescent="0.25"/>
  <cols>
    <col min="1" max="16" width="8.7109375" style="1" customWidth="1"/>
    <col min="17" max="16384" width="9.140625" style="1"/>
  </cols>
  <sheetData>
    <row r="1" spans="1:16" ht="28.5" x14ac:dyDescent="0.25">
      <c r="A1" s="150" t="s">
        <v>91</v>
      </c>
      <c r="B1" s="150"/>
      <c r="C1" s="150"/>
      <c r="D1" s="150"/>
      <c r="E1" s="150"/>
      <c r="F1" s="150"/>
      <c r="G1" s="150"/>
      <c r="H1" s="150"/>
      <c r="I1" s="150"/>
      <c r="J1" s="150"/>
      <c r="K1" s="150"/>
      <c r="L1" s="150"/>
      <c r="M1" s="150"/>
      <c r="N1" s="150"/>
      <c r="O1" s="150"/>
      <c r="P1" s="150"/>
    </row>
    <row r="2" spans="1:16" ht="23.25" customHeight="1" thickBot="1" x14ac:dyDescent="0.3">
      <c r="A2" s="151"/>
      <c r="B2" s="151"/>
      <c r="C2" s="151"/>
      <c r="D2" s="151"/>
      <c r="E2" s="151"/>
      <c r="F2" s="151"/>
      <c r="G2" s="151"/>
      <c r="H2" s="151"/>
      <c r="I2" s="151"/>
      <c r="J2" s="151"/>
      <c r="K2" s="151"/>
      <c r="L2" s="151"/>
      <c r="M2" s="151"/>
      <c r="N2" s="151"/>
      <c r="O2" s="151"/>
      <c r="P2" s="151"/>
    </row>
    <row r="3" spans="1:16" x14ac:dyDescent="0.25">
      <c r="A3" s="2" t="s">
        <v>1</v>
      </c>
      <c r="B3" s="103" t="s">
        <v>91</v>
      </c>
      <c r="C3" s="103"/>
      <c r="D3" s="103"/>
      <c r="E3" s="103"/>
      <c r="F3" s="103"/>
      <c r="G3" s="103"/>
      <c r="H3" s="152"/>
      <c r="I3" s="101" t="s">
        <v>6</v>
      </c>
      <c r="J3" s="102"/>
      <c r="K3" s="153" t="s">
        <v>37</v>
      </c>
      <c r="L3" s="154"/>
      <c r="M3" s="101" t="s">
        <v>9</v>
      </c>
      <c r="N3" s="102"/>
      <c r="O3" s="102"/>
      <c r="P3" s="137"/>
    </row>
    <row r="4" spans="1:16" x14ac:dyDescent="0.25">
      <c r="A4" s="3" t="s">
        <v>2</v>
      </c>
      <c r="B4" s="119" t="s">
        <v>92</v>
      </c>
      <c r="C4" s="119"/>
      <c r="D4" s="119"/>
      <c r="E4" s="119"/>
      <c r="F4" s="119"/>
      <c r="G4" s="119"/>
      <c r="H4" s="141"/>
      <c r="I4" s="142" t="s">
        <v>7</v>
      </c>
      <c r="J4" s="143"/>
      <c r="K4" s="144">
        <v>21</v>
      </c>
      <c r="L4" s="145"/>
      <c r="M4" s="8" t="s">
        <v>10</v>
      </c>
      <c r="N4" s="9" t="s">
        <v>76</v>
      </c>
      <c r="O4" s="143" t="s">
        <v>11</v>
      </c>
      <c r="P4" s="146"/>
    </row>
    <row r="5" spans="1:16" ht="15.75" thickBot="1" x14ac:dyDescent="0.3">
      <c r="A5" s="4" t="s">
        <v>480</v>
      </c>
      <c r="B5" s="71">
        <v>84902</v>
      </c>
      <c r="C5" s="5" t="s">
        <v>481</v>
      </c>
      <c r="D5" s="70" t="s">
        <v>493</v>
      </c>
      <c r="E5" s="74"/>
      <c r="F5" s="5" t="s">
        <v>12</v>
      </c>
      <c r="G5" s="147">
        <v>432753333</v>
      </c>
      <c r="H5" s="126"/>
      <c r="I5" s="107" t="s">
        <v>8</v>
      </c>
      <c r="J5" s="108"/>
      <c r="K5" s="148" t="s">
        <v>93</v>
      </c>
      <c r="L5" s="149"/>
      <c r="M5" s="11">
        <v>0</v>
      </c>
      <c r="N5" s="10">
        <v>0</v>
      </c>
      <c r="O5" s="148">
        <v>0</v>
      </c>
      <c r="P5" s="149"/>
    </row>
    <row r="6" spans="1:16" ht="15.75" thickBot="1" x14ac:dyDescent="0.3">
      <c r="A6" s="159"/>
      <c r="B6" s="159"/>
      <c r="C6" s="159"/>
      <c r="D6" s="159"/>
      <c r="E6" s="159"/>
      <c r="F6" s="159"/>
      <c r="G6" s="159"/>
      <c r="H6" s="159"/>
      <c r="I6" s="159"/>
      <c r="J6" s="159"/>
      <c r="K6" s="159"/>
      <c r="L6" s="159"/>
      <c r="M6" s="159"/>
      <c r="N6" s="159"/>
      <c r="O6" s="159"/>
      <c r="P6" s="159"/>
    </row>
    <row r="7" spans="1:16" ht="15.75" thickBot="1" x14ac:dyDescent="0.3">
      <c r="A7" s="138" t="s">
        <v>31</v>
      </c>
      <c r="B7" s="139"/>
      <c r="C7" s="131" t="s">
        <v>30</v>
      </c>
      <c r="D7" s="131"/>
      <c r="E7" s="131"/>
      <c r="F7" s="131"/>
      <c r="G7" s="139" t="s">
        <v>32</v>
      </c>
      <c r="H7" s="139"/>
      <c r="I7" s="140" t="s">
        <v>30</v>
      </c>
      <c r="J7" s="140"/>
      <c r="K7" s="140"/>
      <c r="L7" s="139" t="s">
        <v>33</v>
      </c>
      <c r="M7" s="139"/>
      <c r="N7" s="131" t="s">
        <v>30</v>
      </c>
      <c r="O7" s="131"/>
      <c r="P7" s="132"/>
    </row>
    <row r="8" spans="1:16" ht="15.75" thickBot="1" x14ac:dyDescent="0.3">
      <c r="A8" s="133"/>
      <c r="B8" s="133"/>
      <c r="C8" s="133"/>
      <c r="D8" s="133"/>
      <c r="E8" s="133"/>
      <c r="F8" s="133"/>
      <c r="G8" s="133"/>
      <c r="H8" s="133"/>
      <c r="I8" s="133"/>
      <c r="J8" s="133"/>
      <c r="K8" s="133"/>
      <c r="L8" s="133"/>
      <c r="M8" s="133"/>
      <c r="N8" s="133"/>
      <c r="O8" s="133"/>
      <c r="P8" s="133"/>
    </row>
    <row r="9" spans="1:16" ht="15.75" thickBot="1" x14ac:dyDescent="0.3">
      <c r="A9" s="111" t="s">
        <v>13</v>
      </c>
      <c r="B9" s="112"/>
      <c r="C9" s="112"/>
      <c r="D9" s="112"/>
      <c r="E9" s="112"/>
      <c r="F9" s="112"/>
      <c r="G9" s="112"/>
      <c r="H9" s="112"/>
      <c r="I9" s="112"/>
      <c r="J9" s="112"/>
      <c r="K9" s="112"/>
      <c r="L9" s="112"/>
      <c r="M9" s="112"/>
      <c r="N9" s="112"/>
      <c r="O9" s="112"/>
      <c r="P9" s="113"/>
    </row>
    <row r="10" spans="1:16" s="6" customFormat="1" x14ac:dyDescent="0.25">
      <c r="A10" s="134" t="s">
        <v>1</v>
      </c>
      <c r="B10" s="135"/>
      <c r="C10" s="135" t="s">
        <v>3</v>
      </c>
      <c r="D10" s="135"/>
      <c r="E10" s="135" t="s">
        <v>4</v>
      </c>
      <c r="F10" s="135"/>
      <c r="G10" s="104" t="s">
        <v>20</v>
      </c>
      <c r="H10" s="105"/>
      <c r="I10" s="104" t="s">
        <v>21</v>
      </c>
      <c r="J10" s="136"/>
      <c r="K10" s="163" t="s">
        <v>5</v>
      </c>
      <c r="L10" s="163"/>
      <c r="M10" s="163"/>
      <c r="N10" s="163"/>
      <c r="O10" s="163"/>
      <c r="P10" s="164"/>
    </row>
    <row r="11" spans="1:16" x14ac:dyDescent="0.25">
      <c r="A11" s="118" t="s">
        <v>88</v>
      </c>
      <c r="B11" s="119"/>
      <c r="C11" s="119" t="s">
        <v>89</v>
      </c>
      <c r="D11" s="119"/>
      <c r="E11" s="119" t="s">
        <v>71</v>
      </c>
      <c r="F11" s="119"/>
      <c r="G11" s="120">
        <v>432753663</v>
      </c>
      <c r="H11" s="121"/>
      <c r="I11" s="120"/>
      <c r="J11" s="122"/>
      <c r="K11" s="59" t="s">
        <v>90</v>
      </c>
      <c r="L11" s="60"/>
      <c r="M11" s="60"/>
      <c r="N11" s="60"/>
      <c r="O11" s="60"/>
      <c r="P11" s="61"/>
    </row>
    <row r="12" spans="1:16" x14ac:dyDescent="0.25">
      <c r="A12" s="118"/>
      <c r="B12" s="119"/>
      <c r="C12" s="119"/>
      <c r="D12" s="119"/>
      <c r="E12" s="119"/>
      <c r="F12" s="119"/>
      <c r="G12" s="120"/>
      <c r="H12" s="121"/>
      <c r="I12" s="120"/>
      <c r="J12" s="122"/>
      <c r="K12" s="161"/>
      <c r="L12" s="161"/>
      <c r="M12" s="161"/>
      <c r="N12" s="161"/>
      <c r="O12" s="161"/>
      <c r="P12" s="162"/>
    </row>
    <row r="13" spans="1:16" x14ac:dyDescent="0.25">
      <c r="A13" s="118"/>
      <c r="B13" s="119"/>
      <c r="C13" s="119"/>
      <c r="D13" s="119"/>
      <c r="E13" s="119"/>
      <c r="F13" s="119"/>
      <c r="G13" s="120"/>
      <c r="H13" s="121"/>
      <c r="I13" s="120"/>
      <c r="J13" s="122"/>
      <c r="K13" s="123"/>
      <c r="L13" s="123"/>
      <c r="M13" s="123"/>
      <c r="N13" s="123"/>
      <c r="O13" s="123"/>
      <c r="P13" s="124"/>
    </row>
    <row r="14" spans="1:16" x14ac:dyDescent="0.25">
      <c r="A14" s="118"/>
      <c r="B14" s="119"/>
      <c r="C14" s="119"/>
      <c r="D14" s="119"/>
      <c r="E14" s="119"/>
      <c r="F14" s="119"/>
      <c r="G14" s="120"/>
      <c r="H14" s="121"/>
      <c r="I14" s="120"/>
      <c r="J14" s="122"/>
      <c r="K14" s="123"/>
      <c r="L14" s="123"/>
      <c r="M14" s="123"/>
      <c r="N14" s="123"/>
      <c r="O14" s="123"/>
      <c r="P14" s="124"/>
    </row>
    <row r="15" spans="1:16" x14ac:dyDescent="0.25">
      <c r="A15" s="118"/>
      <c r="B15" s="119"/>
      <c r="C15" s="119"/>
      <c r="D15" s="119"/>
      <c r="E15" s="119"/>
      <c r="F15" s="119"/>
      <c r="G15" s="120"/>
      <c r="H15" s="121"/>
      <c r="I15" s="120"/>
      <c r="J15" s="122"/>
      <c r="K15" s="123"/>
      <c r="L15" s="123"/>
      <c r="M15" s="123"/>
      <c r="N15" s="123"/>
      <c r="O15" s="123"/>
      <c r="P15" s="124"/>
    </row>
    <row r="16" spans="1:16" ht="15.75" thickBot="1" x14ac:dyDescent="0.3">
      <c r="A16" s="125"/>
      <c r="B16" s="109"/>
      <c r="C16" s="109"/>
      <c r="D16" s="109"/>
      <c r="E16" s="109"/>
      <c r="F16" s="109"/>
      <c r="G16" s="126"/>
      <c r="H16" s="127"/>
      <c r="I16" s="126"/>
      <c r="J16" s="128"/>
      <c r="K16" s="116"/>
      <c r="L16" s="116"/>
      <c r="M16" s="116"/>
      <c r="N16" s="116"/>
      <c r="O16" s="116"/>
      <c r="P16" s="117"/>
    </row>
    <row r="17" spans="1:21" ht="15.75" thickBot="1" x14ac:dyDescent="0.3">
      <c r="A17" s="100"/>
      <c r="B17" s="100"/>
      <c r="C17" s="100"/>
      <c r="D17" s="100"/>
      <c r="E17" s="100"/>
      <c r="F17" s="100"/>
      <c r="G17" s="100"/>
      <c r="H17" s="100"/>
      <c r="I17" s="100"/>
      <c r="J17" s="100"/>
      <c r="K17" s="100"/>
      <c r="L17" s="100"/>
      <c r="M17" s="100"/>
      <c r="N17" s="100"/>
      <c r="O17" s="100"/>
      <c r="P17" s="100"/>
    </row>
    <row r="18" spans="1:21" x14ac:dyDescent="0.25">
      <c r="A18" s="101" t="s">
        <v>23</v>
      </c>
      <c r="B18" s="102"/>
      <c r="C18" s="102"/>
      <c r="D18" s="103" t="s">
        <v>94</v>
      </c>
      <c r="E18" s="103"/>
      <c r="F18" s="103"/>
      <c r="G18" s="103"/>
      <c r="H18" s="103"/>
      <c r="I18" s="103"/>
      <c r="J18" s="104" t="s">
        <v>25</v>
      </c>
      <c r="K18" s="105"/>
      <c r="L18" s="103" t="s">
        <v>30</v>
      </c>
      <c r="M18" s="103"/>
      <c r="N18" s="103"/>
      <c r="O18" s="103"/>
      <c r="P18" s="106"/>
    </row>
    <row r="19" spans="1:21" ht="15.75" thickBot="1" x14ac:dyDescent="0.3">
      <c r="A19" s="107" t="s">
        <v>24</v>
      </c>
      <c r="B19" s="108"/>
      <c r="C19" s="108"/>
      <c r="D19" s="109" t="s">
        <v>95</v>
      </c>
      <c r="E19" s="109"/>
      <c r="F19" s="109"/>
      <c r="G19" s="109"/>
      <c r="H19" s="109"/>
      <c r="I19" s="109"/>
      <c r="J19" s="108" t="s">
        <v>26</v>
      </c>
      <c r="K19" s="108"/>
      <c r="L19" s="109">
        <v>0</v>
      </c>
      <c r="M19" s="109"/>
      <c r="N19" s="109"/>
      <c r="O19" s="109"/>
      <c r="P19" s="110"/>
    </row>
    <row r="20" spans="1:21" ht="15.75" thickBot="1" x14ac:dyDescent="0.3">
      <c r="A20" s="100"/>
      <c r="B20" s="100"/>
      <c r="C20" s="100"/>
      <c r="D20" s="100"/>
      <c r="E20" s="100"/>
      <c r="F20" s="100"/>
      <c r="G20" s="100"/>
      <c r="H20" s="100"/>
      <c r="I20" s="100"/>
      <c r="J20" s="100"/>
      <c r="K20" s="100"/>
      <c r="L20" s="100"/>
      <c r="M20" s="100"/>
      <c r="N20" s="100"/>
      <c r="O20" s="100"/>
      <c r="P20" s="100"/>
    </row>
    <row r="21" spans="1:21" ht="15.75" thickBot="1" x14ac:dyDescent="0.3">
      <c r="A21" s="111" t="s">
        <v>27</v>
      </c>
      <c r="B21" s="112"/>
      <c r="C21" s="112" t="s">
        <v>28</v>
      </c>
      <c r="D21" s="112"/>
      <c r="E21" s="112"/>
      <c r="F21" s="112"/>
      <c r="G21" s="112"/>
      <c r="H21" s="112"/>
      <c r="I21" s="112"/>
      <c r="J21" s="112"/>
      <c r="K21" s="112"/>
      <c r="L21" s="112"/>
      <c r="M21" s="112"/>
      <c r="N21" s="112"/>
      <c r="O21" s="112"/>
      <c r="P21" s="113"/>
      <c r="Q21" s="7"/>
      <c r="R21" s="7"/>
      <c r="S21" s="7"/>
      <c r="T21" s="7"/>
      <c r="U21" s="7"/>
    </row>
    <row r="22" spans="1:21" ht="30" customHeight="1" x14ac:dyDescent="0.25">
      <c r="A22" s="114">
        <v>42109</v>
      </c>
      <c r="B22" s="115"/>
      <c r="C22" s="91" t="s">
        <v>96</v>
      </c>
      <c r="D22" s="91"/>
      <c r="E22" s="91"/>
      <c r="F22" s="91"/>
      <c r="G22" s="91"/>
      <c r="H22" s="91"/>
      <c r="I22" s="91"/>
      <c r="J22" s="91"/>
      <c r="K22" s="91"/>
      <c r="L22" s="91"/>
      <c r="M22" s="91"/>
      <c r="N22" s="91"/>
      <c r="O22" s="91"/>
      <c r="P22" s="92"/>
      <c r="Q22" s="7"/>
      <c r="R22" s="7"/>
      <c r="S22" s="7"/>
      <c r="T22" s="7"/>
      <c r="U22" s="7"/>
    </row>
    <row r="23" spans="1:21" ht="30" customHeight="1" x14ac:dyDescent="0.25">
      <c r="A23" s="89"/>
      <c r="B23" s="90"/>
      <c r="C23" s="97"/>
      <c r="D23" s="98"/>
      <c r="E23" s="98"/>
      <c r="F23" s="98"/>
      <c r="G23" s="98"/>
      <c r="H23" s="98"/>
      <c r="I23" s="98"/>
      <c r="J23" s="98"/>
      <c r="K23" s="98"/>
      <c r="L23" s="98"/>
      <c r="M23" s="98"/>
      <c r="N23" s="98"/>
      <c r="O23" s="98"/>
      <c r="P23" s="99"/>
      <c r="Q23" s="7"/>
      <c r="R23" s="7"/>
      <c r="S23" s="7"/>
      <c r="T23" s="7"/>
      <c r="U23" s="7"/>
    </row>
    <row r="24" spans="1:21" ht="30" customHeight="1" x14ac:dyDescent="0.25">
      <c r="A24" s="89"/>
      <c r="B24" s="90"/>
      <c r="C24" s="91"/>
      <c r="D24" s="91"/>
      <c r="E24" s="91"/>
      <c r="F24" s="91"/>
      <c r="G24" s="91"/>
      <c r="H24" s="91"/>
      <c r="I24" s="91"/>
      <c r="J24" s="91"/>
      <c r="K24" s="91"/>
      <c r="L24" s="91"/>
      <c r="M24" s="91"/>
      <c r="N24" s="91"/>
      <c r="O24" s="91"/>
      <c r="P24" s="92"/>
      <c r="Q24" s="7"/>
      <c r="R24" s="7"/>
      <c r="S24" s="7"/>
      <c r="T24" s="7"/>
      <c r="U24" s="7"/>
    </row>
    <row r="25" spans="1:21" ht="30" customHeight="1" x14ac:dyDescent="0.25">
      <c r="A25" s="89"/>
      <c r="B25" s="90"/>
      <c r="C25" s="91"/>
      <c r="D25" s="91"/>
      <c r="E25" s="91"/>
      <c r="F25" s="91"/>
      <c r="G25" s="91"/>
      <c r="H25" s="91"/>
      <c r="I25" s="91"/>
      <c r="J25" s="91"/>
      <c r="K25" s="91"/>
      <c r="L25" s="91"/>
      <c r="M25" s="91"/>
      <c r="N25" s="91"/>
      <c r="O25" s="91"/>
      <c r="P25" s="92"/>
    </row>
    <row r="26" spans="1:21" ht="30" customHeight="1" thickBot="1" x14ac:dyDescent="0.3">
      <c r="A26" s="93"/>
      <c r="B26" s="94"/>
      <c r="C26" s="95"/>
      <c r="D26" s="95"/>
      <c r="E26" s="95"/>
      <c r="F26" s="95"/>
      <c r="G26" s="95"/>
      <c r="H26" s="95"/>
      <c r="I26" s="95"/>
      <c r="J26" s="95"/>
      <c r="K26" s="95"/>
      <c r="L26" s="95"/>
      <c r="M26" s="95"/>
      <c r="N26" s="95"/>
      <c r="O26" s="95"/>
      <c r="P26" s="96"/>
    </row>
  </sheetData>
  <mergeCells count="86">
    <mergeCell ref="A1:P1"/>
    <mergeCell ref="A2:P2"/>
    <mergeCell ref="B3:H3"/>
    <mergeCell ref="I3:J3"/>
    <mergeCell ref="K3:L3"/>
    <mergeCell ref="M3:P3"/>
    <mergeCell ref="N7:P7"/>
    <mergeCell ref="B4:H4"/>
    <mergeCell ref="I4:J4"/>
    <mergeCell ref="K4:L4"/>
    <mergeCell ref="O4:P4"/>
    <mergeCell ref="G5:H5"/>
    <mergeCell ref="I5:J5"/>
    <mergeCell ref="K5:L5"/>
    <mergeCell ref="O5:P5"/>
    <mergeCell ref="A7:B7"/>
    <mergeCell ref="C7:F7"/>
    <mergeCell ref="G7:H7"/>
    <mergeCell ref="I7:K7"/>
    <mergeCell ref="L7:M7"/>
    <mergeCell ref="A6:P6"/>
    <mergeCell ref="A8:P8"/>
    <mergeCell ref="A9:P9"/>
    <mergeCell ref="A10:B10"/>
    <mergeCell ref="C10:D10"/>
    <mergeCell ref="E10:F10"/>
    <mergeCell ref="G10:H10"/>
    <mergeCell ref="I10:J10"/>
    <mergeCell ref="K10:P10"/>
    <mergeCell ref="K12:P12"/>
    <mergeCell ref="A11:B11"/>
    <mergeCell ref="C11:D11"/>
    <mergeCell ref="E11:F11"/>
    <mergeCell ref="G11:H11"/>
    <mergeCell ref="I11:J11"/>
    <mergeCell ref="A12:B12"/>
    <mergeCell ref="C12:D12"/>
    <mergeCell ref="E12:F12"/>
    <mergeCell ref="G12:H12"/>
    <mergeCell ref="I12:J12"/>
    <mergeCell ref="K14:P14"/>
    <mergeCell ref="A13:B13"/>
    <mergeCell ref="C13:D13"/>
    <mergeCell ref="E13:F13"/>
    <mergeCell ref="G13:H13"/>
    <mergeCell ref="I13:J13"/>
    <mergeCell ref="K13:P13"/>
    <mergeCell ref="A14:B14"/>
    <mergeCell ref="C14:D14"/>
    <mergeCell ref="E14:F14"/>
    <mergeCell ref="G14:H14"/>
    <mergeCell ref="I14:J14"/>
    <mergeCell ref="K16:P16"/>
    <mergeCell ref="A15:B15"/>
    <mergeCell ref="C15:D15"/>
    <mergeCell ref="E15:F15"/>
    <mergeCell ref="G15:H15"/>
    <mergeCell ref="I15:J15"/>
    <mergeCell ref="K15:P15"/>
    <mergeCell ref="A16:B16"/>
    <mergeCell ref="C16:D16"/>
    <mergeCell ref="E16:F16"/>
    <mergeCell ref="G16:H16"/>
    <mergeCell ref="I16:J16"/>
    <mergeCell ref="A23:B23"/>
    <mergeCell ref="C23:P23"/>
    <mergeCell ref="A17:P17"/>
    <mergeCell ref="A18:C18"/>
    <mergeCell ref="D18:I18"/>
    <mergeCell ref="J18:K18"/>
    <mergeCell ref="L18:P18"/>
    <mergeCell ref="A19:C19"/>
    <mergeCell ref="D19:I19"/>
    <mergeCell ref="J19:K19"/>
    <mergeCell ref="L19:P19"/>
    <mergeCell ref="A20:P20"/>
    <mergeCell ref="A21:B21"/>
    <mergeCell ref="C21:P21"/>
    <mergeCell ref="A22:B22"/>
    <mergeCell ref="C22:P22"/>
    <mergeCell ref="A24:B24"/>
    <mergeCell ref="C24:P24"/>
    <mergeCell ref="A25:B25"/>
    <mergeCell ref="C25:P25"/>
    <mergeCell ref="A26:B26"/>
    <mergeCell ref="C26:P26"/>
  </mergeCells>
  <hyperlinks>
    <hyperlink ref="K11" r:id="rId1"/>
  </hyperlinks>
  <pageMargins left="0.25" right="0.25" top="0.75" bottom="0.75" header="0.3" footer="0.3"/>
  <pageSetup paperSize="9" orientation="landscape" horizontalDpi="0" verticalDpi="0"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dimension ref="A1:Q26"/>
  <sheetViews>
    <sheetView tabSelected="1" zoomScale="115" zoomScaleNormal="115" workbookViewId="0">
      <selection activeCell="M5" sqref="M5:N5"/>
    </sheetView>
  </sheetViews>
  <sheetFormatPr baseColWidth="10" defaultColWidth="9.140625" defaultRowHeight="15" x14ac:dyDescent="0.25"/>
  <cols>
    <col min="1" max="16" width="8.7109375" style="1" customWidth="1"/>
    <col min="17" max="16384" width="9.140625" style="1"/>
  </cols>
  <sheetData>
    <row r="1" spans="1:16" ht="28.5" x14ac:dyDescent="0.25">
      <c r="A1" s="150" t="s">
        <v>97</v>
      </c>
      <c r="B1" s="150"/>
      <c r="C1" s="150"/>
      <c r="D1" s="150"/>
      <c r="E1" s="150"/>
      <c r="F1" s="150"/>
      <c r="G1" s="150"/>
      <c r="H1" s="150"/>
      <c r="I1" s="150"/>
      <c r="J1" s="150"/>
      <c r="K1" s="150"/>
      <c r="L1" s="150"/>
      <c r="M1" s="150"/>
      <c r="N1" s="150"/>
      <c r="O1" s="150"/>
      <c r="P1" s="150"/>
    </row>
    <row r="2" spans="1:16" ht="23.25" customHeight="1" thickBot="1" x14ac:dyDescent="0.3">
      <c r="A2" s="151"/>
      <c r="B2" s="151"/>
      <c r="C2" s="151"/>
      <c r="D2" s="151"/>
      <c r="E2" s="151"/>
      <c r="F2" s="151"/>
      <c r="G2" s="151"/>
      <c r="H2" s="151"/>
      <c r="I2" s="151"/>
      <c r="J2" s="151"/>
      <c r="K2" s="151"/>
      <c r="L2" s="151"/>
      <c r="M2" s="151"/>
      <c r="N2" s="151"/>
      <c r="O2" s="151"/>
      <c r="P2" s="151"/>
    </row>
    <row r="3" spans="1:16" x14ac:dyDescent="0.25">
      <c r="A3" s="2" t="s">
        <v>1</v>
      </c>
      <c r="B3" s="103" t="s">
        <v>98</v>
      </c>
      <c r="C3" s="103"/>
      <c r="D3" s="103"/>
      <c r="E3" s="103"/>
      <c r="F3" s="103"/>
      <c r="G3" s="103"/>
      <c r="H3" s="152"/>
      <c r="I3" s="101" t="s">
        <v>6</v>
      </c>
      <c r="J3" s="102"/>
      <c r="K3" s="153" t="s">
        <v>37</v>
      </c>
      <c r="L3" s="154"/>
      <c r="M3" s="101" t="s">
        <v>9</v>
      </c>
      <c r="N3" s="102"/>
      <c r="O3" s="102"/>
      <c r="P3" s="137"/>
    </row>
    <row r="4" spans="1:16" x14ac:dyDescent="0.25">
      <c r="A4" s="3" t="s">
        <v>2</v>
      </c>
      <c r="B4" s="119" t="s">
        <v>99</v>
      </c>
      <c r="C4" s="119"/>
      <c r="D4" s="119"/>
      <c r="E4" s="119"/>
      <c r="F4" s="119"/>
      <c r="G4" s="119"/>
      <c r="H4" s="141"/>
      <c r="I4" s="142" t="s">
        <v>7</v>
      </c>
      <c r="J4" s="143"/>
      <c r="K4" s="144">
        <v>10</v>
      </c>
      <c r="L4" s="145"/>
      <c r="M4" s="14" t="s">
        <v>10</v>
      </c>
      <c r="N4" s="15" t="s">
        <v>76</v>
      </c>
      <c r="O4" s="143" t="s">
        <v>11</v>
      </c>
      <c r="P4" s="146"/>
    </row>
    <row r="5" spans="1:16" ht="15.75" thickBot="1" x14ac:dyDescent="0.3">
      <c r="A5" s="4" t="s">
        <v>480</v>
      </c>
      <c r="B5" s="71" t="s">
        <v>496</v>
      </c>
      <c r="C5" s="5" t="s">
        <v>481</v>
      </c>
      <c r="D5" s="70" t="s">
        <v>497</v>
      </c>
      <c r="E5" s="74"/>
      <c r="F5" s="5" t="s">
        <v>12</v>
      </c>
      <c r="G5" s="147">
        <v>233894000</v>
      </c>
      <c r="H5" s="126"/>
      <c r="I5" s="107" t="s">
        <v>8</v>
      </c>
      <c r="J5" s="108"/>
      <c r="K5" s="148">
        <v>45</v>
      </c>
      <c r="L5" s="149"/>
      <c r="M5" s="16">
        <v>50</v>
      </c>
      <c r="N5" s="13"/>
      <c r="O5" s="148"/>
      <c r="P5" s="149"/>
    </row>
    <row r="6" spans="1:16" ht="15.75" thickBot="1" x14ac:dyDescent="0.3">
      <c r="A6" s="12"/>
      <c r="B6" s="12"/>
      <c r="C6" s="12"/>
      <c r="D6" s="12"/>
      <c r="E6" s="12"/>
      <c r="F6" s="12"/>
      <c r="G6" s="12"/>
      <c r="H6" s="12"/>
      <c r="I6" s="12"/>
      <c r="J6" s="12"/>
      <c r="K6" s="12"/>
      <c r="L6" s="12"/>
      <c r="M6" s="12"/>
      <c r="N6" s="12"/>
      <c r="O6" s="12"/>
      <c r="P6" s="12"/>
    </row>
    <row r="7" spans="1:16" ht="15.75" thickBot="1" x14ac:dyDescent="0.3">
      <c r="A7" s="138" t="s">
        <v>31</v>
      </c>
      <c r="B7" s="139"/>
      <c r="C7" s="131"/>
      <c r="D7" s="131"/>
      <c r="E7" s="131"/>
      <c r="F7" s="131"/>
      <c r="G7" s="139" t="s">
        <v>32</v>
      </c>
      <c r="H7" s="139"/>
      <c r="I7" s="140"/>
      <c r="J7" s="140"/>
      <c r="K7" s="140"/>
      <c r="L7" s="139" t="s">
        <v>33</v>
      </c>
      <c r="M7" s="139"/>
      <c r="N7" s="131"/>
      <c r="O7" s="131"/>
      <c r="P7" s="132"/>
    </row>
    <row r="8" spans="1:16" ht="15.75" thickBot="1" x14ac:dyDescent="0.3">
      <c r="A8" s="133"/>
      <c r="B8" s="133"/>
      <c r="C8" s="133"/>
      <c r="D8" s="133"/>
      <c r="E8" s="133"/>
      <c r="F8" s="133"/>
      <c r="G8" s="133"/>
      <c r="H8" s="133"/>
      <c r="I8" s="133"/>
      <c r="J8" s="133"/>
      <c r="K8" s="133"/>
      <c r="L8" s="133"/>
      <c r="M8" s="133"/>
      <c r="N8" s="133"/>
      <c r="O8" s="133"/>
      <c r="P8" s="133"/>
    </row>
    <row r="9" spans="1:16" ht="15.75" thickBot="1" x14ac:dyDescent="0.3">
      <c r="A9" s="111" t="s">
        <v>13</v>
      </c>
      <c r="B9" s="112"/>
      <c r="C9" s="112"/>
      <c r="D9" s="112"/>
      <c r="E9" s="112"/>
      <c r="F9" s="112"/>
      <c r="G9" s="112"/>
      <c r="H9" s="112"/>
      <c r="I9" s="112"/>
      <c r="J9" s="112"/>
      <c r="K9" s="112"/>
      <c r="L9" s="112"/>
      <c r="M9" s="112"/>
      <c r="N9" s="112"/>
      <c r="O9" s="112"/>
      <c r="P9" s="113"/>
    </row>
    <row r="10" spans="1:16" s="6" customFormat="1" x14ac:dyDescent="0.25">
      <c r="A10" s="134" t="s">
        <v>1</v>
      </c>
      <c r="B10" s="135"/>
      <c r="C10" s="135" t="s">
        <v>3</v>
      </c>
      <c r="D10" s="135"/>
      <c r="E10" s="135" t="s">
        <v>4</v>
      </c>
      <c r="F10" s="135"/>
      <c r="G10" s="104" t="s">
        <v>20</v>
      </c>
      <c r="H10" s="105"/>
      <c r="I10" s="104" t="s">
        <v>21</v>
      </c>
      <c r="J10" s="136"/>
      <c r="K10" s="102" t="s">
        <v>5</v>
      </c>
      <c r="L10" s="102"/>
      <c r="M10" s="102"/>
      <c r="N10" s="102"/>
      <c r="O10" s="102"/>
      <c r="P10" s="137"/>
    </row>
    <row r="11" spans="1:16" x14ac:dyDescent="0.25">
      <c r="A11" s="118" t="s">
        <v>100</v>
      </c>
      <c r="B11" s="119"/>
      <c r="C11" s="119" t="s">
        <v>101</v>
      </c>
      <c r="D11" s="119"/>
      <c r="E11" s="119" t="s">
        <v>71</v>
      </c>
      <c r="F11" s="119"/>
      <c r="G11" s="120">
        <v>233894050</v>
      </c>
      <c r="H11" s="121"/>
      <c r="I11" s="120"/>
      <c r="J11" s="122"/>
      <c r="K11" s="129" t="s">
        <v>102</v>
      </c>
      <c r="L11" s="129"/>
      <c r="M11" s="129"/>
      <c r="N11" s="129"/>
      <c r="O11" s="129"/>
      <c r="P11" s="130"/>
    </row>
    <row r="12" spans="1:16" x14ac:dyDescent="0.25">
      <c r="A12" s="118" t="s">
        <v>103</v>
      </c>
      <c r="B12" s="119"/>
      <c r="C12" s="119" t="s">
        <v>104</v>
      </c>
      <c r="D12" s="119"/>
      <c r="E12" s="119" t="s">
        <v>105</v>
      </c>
      <c r="F12" s="119"/>
      <c r="G12" s="120"/>
      <c r="H12" s="121"/>
      <c r="I12" s="120"/>
      <c r="J12" s="122"/>
      <c r="K12" s="123"/>
      <c r="L12" s="123"/>
      <c r="M12" s="123"/>
      <c r="N12" s="123"/>
      <c r="O12" s="123"/>
      <c r="P12" s="124"/>
    </row>
    <row r="13" spans="1:16" x14ac:dyDescent="0.25">
      <c r="A13" s="118"/>
      <c r="B13" s="119"/>
      <c r="C13" s="119"/>
      <c r="D13" s="119"/>
      <c r="E13" s="119"/>
      <c r="F13" s="119"/>
      <c r="G13" s="120"/>
      <c r="H13" s="121"/>
      <c r="I13" s="120"/>
      <c r="J13" s="122"/>
      <c r="K13" s="123"/>
      <c r="L13" s="123"/>
      <c r="M13" s="123"/>
      <c r="N13" s="123"/>
      <c r="O13" s="123"/>
      <c r="P13" s="124"/>
    </row>
    <row r="14" spans="1:16" x14ac:dyDescent="0.25">
      <c r="A14" s="118"/>
      <c r="B14" s="119"/>
      <c r="C14" s="119"/>
      <c r="D14" s="119"/>
      <c r="E14" s="119"/>
      <c r="F14" s="119"/>
      <c r="G14" s="120"/>
      <c r="H14" s="121"/>
      <c r="I14" s="120"/>
      <c r="J14" s="122"/>
      <c r="K14" s="123"/>
      <c r="L14" s="123"/>
      <c r="M14" s="123"/>
      <c r="N14" s="123"/>
      <c r="O14" s="123"/>
      <c r="P14" s="124"/>
    </row>
    <row r="15" spans="1:16" x14ac:dyDescent="0.25">
      <c r="A15" s="118"/>
      <c r="B15" s="119"/>
      <c r="C15" s="119"/>
      <c r="D15" s="119"/>
      <c r="E15" s="119"/>
      <c r="F15" s="119"/>
      <c r="G15" s="120"/>
      <c r="H15" s="121"/>
      <c r="I15" s="120"/>
      <c r="J15" s="122"/>
      <c r="K15" s="123"/>
      <c r="L15" s="123"/>
      <c r="M15" s="123"/>
      <c r="N15" s="123"/>
      <c r="O15" s="123"/>
      <c r="P15" s="124"/>
    </row>
    <row r="16" spans="1:16" ht="15.75" thickBot="1" x14ac:dyDescent="0.3">
      <c r="A16" s="125"/>
      <c r="B16" s="109"/>
      <c r="C16" s="109"/>
      <c r="D16" s="109"/>
      <c r="E16" s="109"/>
      <c r="F16" s="109"/>
      <c r="G16" s="126"/>
      <c r="H16" s="127"/>
      <c r="I16" s="126"/>
      <c r="J16" s="128"/>
      <c r="K16" s="116"/>
      <c r="L16" s="116"/>
      <c r="M16" s="116"/>
      <c r="N16" s="116"/>
      <c r="O16" s="116"/>
      <c r="P16" s="117"/>
    </row>
    <row r="17" spans="1:17" ht="15.75" thickBot="1" x14ac:dyDescent="0.3">
      <c r="A17" s="100"/>
      <c r="B17" s="100"/>
      <c r="C17" s="100"/>
      <c r="D17" s="100"/>
      <c r="E17" s="100"/>
      <c r="F17" s="100"/>
      <c r="G17" s="100"/>
      <c r="H17" s="100"/>
      <c r="I17" s="100"/>
      <c r="J17" s="100"/>
      <c r="K17" s="100"/>
      <c r="L17" s="100"/>
      <c r="M17" s="100"/>
      <c r="N17" s="100"/>
      <c r="O17" s="100"/>
      <c r="P17" s="100"/>
    </row>
    <row r="18" spans="1:17" x14ac:dyDescent="0.25">
      <c r="A18" s="101" t="s">
        <v>23</v>
      </c>
      <c r="B18" s="102"/>
      <c r="C18" s="102"/>
      <c r="D18" s="103"/>
      <c r="E18" s="103"/>
      <c r="F18" s="103"/>
      <c r="G18" s="103"/>
      <c r="H18" s="103"/>
      <c r="I18" s="103"/>
      <c r="J18" s="104" t="s">
        <v>25</v>
      </c>
      <c r="K18" s="105"/>
      <c r="L18" s="103"/>
      <c r="M18" s="103"/>
      <c r="N18" s="103"/>
      <c r="O18" s="103"/>
      <c r="P18" s="106"/>
    </row>
    <row r="19" spans="1:17" ht="15.75" thickBot="1" x14ac:dyDescent="0.3">
      <c r="A19" s="107" t="s">
        <v>24</v>
      </c>
      <c r="B19" s="108"/>
      <c r="C19" s="108"/>
      <c r="D19" s="109"/>
      <c r="E19" s="109"/>
      <c r="F19" s="109"/>
      <c r="G19" s="109"/>
      <c r="H19" s="109"/>
      <c r="I19" s="109"/>
      <c r="J19" s="108" t="s">
        <v>26</v>
      </c>
      <c r="K19" s="108"/>
      <c r="L19" s="109"/>
      <c r="M19" s="109"/>
      <c r="N19" s="109"/>
      <c r="O19" s="109"/>
      <c r="P19" s="110"/>
    </row>
    <row r="20" spans="1:17" ht="15.75" thickBot="1" x14ac:dyDescent="0.3">
      <c r="A20" s="100"/>
      <c r="B20" s="100"/>
      <c r="C20" s="100"/>
      <c r="D20" s="100"/>
      <c r="E20" s="100"/>
      <c r="F20" s="100"/>
      <c r="G20" s="100"/>
      <c r="H20" s="100"/>
      <c r="I20" s="100"/>
      <c r="J20" s="100"/>
      <c r="K20" s="100"/>
      <c r="L20" s="100"/>
      <c r="M20" s="100"/>
      <c r="N20" s="100"/>
      <c r="O20" s="100"/>
      <c r="P20" s="100"/>
    </row>
    <row r="21" spans="1:17" ht="15.75" thickBot="1" x14ac:dyDescent="0.3">
      <c r="A21" s="111" t="s">
        <v>27</v>
      </c>
      <c r="B21" s="112"/>
      <c r="C21" s="112" t="s">
        <v>28</v>
      </c>
      <c r="D21" s="112"/>
      <c r="E21" s="112"/>
      <c r="F21" s="112"/>
      <c r="G21" s="112"/>
      <c r="H21" s="112"/>
      <c r="I21" s="112"/>
      <c r="J21" s="112"/>
      <c r="K21" s="112"/>
      <c r="L21" s="112"/>
      <c r="M21" s="112"/>
      <c r="N21" s="112"/>
      <c r="O21" s="112"/>
      <c r="P21" s="113"/>
      <c r="Q21" s="7"/>
    </row>
    <row r="22" spans="1:17" ht="30" customHeight="1" x14ac:dyDescent="0.25">
      <c r="A22" s="114">
        <v>42114</v>
      </c>
      <c r="B22" s="115"/>
      <c r="C22" s="91" t="s">
        <v>106</v>
      </c>
      <c r="D22" s="91"/>
      <c r="E22" s="91"/>
      <c r="F22" s="91"/>
      <c r="G22" s="91"/>
      <c r="H22" s="91"/>
      <c r="I22" s="91"/>
      <c r="J22" s="91"/>
      <c r="K22" s="91"/>
      <c r="L22" s="91"/>
      <c r="M22" s="91"/>
      <c r="N22" s="91"/>
      <c r="O22" s="91"/>
      <c r="P22" s="92"/>
      <c r="Q22" s="7"/>
    </row>
    <row r="23" spans="1:17" ht="30" customHeight="1" x14ac:dyDescent="0.25">
      <c r="A23" s="89"/>
      <c r="B23" s="90"/>
      <c r="C23" s="97"/>
      <c r="D23" s="98"/>
      <c r="E23" s="98"/>
      <c r="F23" s="98"/>
      <c r="G23" s="98"/>
      <c r="H23" s="98"/>
      <c r="I23" s="98"/>
      <c r="J23" s="98"/>
      <c r="K23" s="98"/>
      <c r="L23" s="98"/>
      <c r="M23" s="98"/>
      <c r="N23" s="98"/>
      <c r="O23" s="98"/>
      <c r="P23" s="99"/>
      <c r="Q23" s="7"/>
    </row>
    <row r="24" spans="1:17" ht="30" customHeight="1" x14ac:dyDescent="0.25">
      <c r="A24" s="89"/>
      <c r="B24" s="90"/>
      <c r="C24" s="91"/>
      <c r="D24" s="91"/>
      <c r="E24" s="91"/>
      <c r="F24" s="91"/>
      <c r="G24" s="91"/>
      <c r="H24" s="91"/>
      <c r="I24" s="91"/>
      <c r="J24" s="91"/>
      <c r="K24" s="91"/>
      <c r="L24" s="91"/>
      <c r="M24" s="91"/>
      <c r="N24" s="91"/>
      <c r="O24" s="91"/>
      <c r="P24" s="92"/>
      <c r="Q24" s="7"/>
    </row>
    <row r="25" spans="1:17" ht="30" customHeight="1" x14ac:dyDescent="0.25">
      <c r="A25" s="89"/>
      <c r="B25" s="90"/>
      <c r="C25" s="91"/>
      <c r="D25" s="91"/>
      <c r="E25" s="91"/>
      <c r="F25" s="91"/>
      <c r="G25" s="91"/>
      <c r="H25" s="91"/>
      <c r="I25" s="91"/>
      <c r="J25" s="91"/>
      <c r="K25" s="91"/>
      <c r="L25" s="91"/>
      <c r="M25" s="91"/>
      <c r="N25" s="91"/>
      <c r="O25" s="91"/>
      <c r="P25" s="92"/>
    </row>
    <row r="26" spans="1:17" ht="30" customHeight="1" thickBot="1" x14ac:dyDescent="0.3">
      <c r="A26" s="93"/>
      <c r="B26" s="94"/>
      <c r="C26" s="95"/>
      <c r="D26" s="95"/>
      <c r="E26" s="95"/>
      <c r="F26" s="95"/>
      <c r="G26" s="95"/>
      <c r="H26" s="95"/>
      <c r="I26" s="95"/>
      <c r="J26" s="95"/>
      <c r="K26" s="95"/>
      <c r="L26" s="95"/>
      <c r="M26" s="95"/>
      <c r="N26" s="95"/>
      <c r="O26" s="95"/>
      <c r="P26" s="96"/>
    </row>
  </sheetData>
  <mergeCells count="86">
    <mergeCell ref="A24:B24"/>
    <mergeCell ref="C24:P24"/>
    <mergeCell ref="A25:B25"/>
    <mergeCell ref="C25:P25"/>
    <mergeCell ref="A26:B26"/>
    <mergeCell ref="C26:P26"/>
    <mergeCell ref="A23:B23"/>
    <mergeCell ref="C23:P23"/>
    <mergeCell ref="A17:P17"/>
    <mergeCell ref="A18:C18"/>
    <mergeCell ref="D18:I18"/>
    <mergeCell ref="J18:K18"/>
    <mergeCell ref="L18:P18"/>
    <mergeCell ref="A19:C19"/>
    <mergeCell ref="D19:I19"/>
    <mergeCell ref="J19:K19"/>
    <mergeCell ref="L19:P19"/>
    <mergeCell ref="A20:P20"/>
    <mergeCell ref="A21:B21"/>
    <mergeCell ref="C21:P21"/>
    <mergeCell ref="A22:B22"/>
    <mergeCell ref="C22:P22"/>
    <mergeCell ref="K16:P16"/>
    <mergeCell ref="A15:B15"/>
    <mergeCell ref="C15:D15"/>
    <mergeCell ref="E15:F15"/>
    <mergeCell ref="G15:H15"/>
    <mergeCell ref="I15:J15"/>
    <mergeCell ref="K15:P15"/>
    <mergeCell ref="A16:B16"/>
    <mergeCell ref="C16:D16"/>
    <mergeCell ref="E16:F16"/>
    <mergeCell ref="G16:H16"/>
    <mergeCell ref="I16:J16"/>
    <mergeCell ref="K14:P14"/>
    <mergeCell ref="A13:B13"/>
    <mergeCell ref="C13:D13"/>
    <mergeCell ref="E13:F13"/>
    <mergeCell ref="G13:H13"/>
    <mergeCell ref="I13:J13"/>
    <mergeCell ref="K13:P13"/>
    <mergeCell ref="A14:B14"/>
    <mergeCell ref="C14:D14"/>
    <mergeCell ref="E14:F14"/>
    <mergeCell ref="G14:H14"/>
    <mergeCell ref="I14:J14"/>
    <mergeCell ref="K12:P12"/>
    <mergeCell ref="A11:B11"/>
    <mergeCell ref="C11:D11"/>
    <mergeCell ref="E11:F11"/>
    <mergeCell ref="G11:H11"/>
    <mergeCell ref="I11:J11"/>
    <mergeCell ref="K11:P11"/>
    <mergeCell ref="A12:B12"/>
    <mergeCell ref="C12:D12"/>
    <mergeCell ref="E12:F12"/>
    <mergeCell ref="G12:H12"/>
    <mergeCell ref="I12:J12"/>
    <mergeCell ref="A8:P8"/>
    <mergeCell ref="A9:P9"/>
    <mergeCell ref="A10:B10"/>
    <mergeCell ref="C10:D10"/>
    <mergeCell ref="E10:F10"/>
    <mergeCell ref="G10:H10"/>
    <mergeCell ref="I10:J10"/>
    <mergeCell ref="K10:P10"/>
    <mergeCell ref="N7:P7"/>
    <mergeCell ref="B4:H4"/>
    <mergeCell ref="I4:J4"/>
    <mergeCell ref="K4:L4"/>
    <mergeCell ref="O4:P4"/>
    <mergeCell ref="G5:H5"/>
    <mergeCell ref="I5:J5"/>
    <mergeCell ref="K5:L5"/>
    <mergeCell ref="O5:P5"/>
    <mergeCell ref="A7:B7"/>
    <mergeCell ref="C7:F7"/>
    <mergeCell ref="G7:H7"/>
    <mergeCell ref="I7:K7"/>
    <mergeCell ref="L7:M7"/>
    <mergeCell ref="A1:P1"/>
    <mergeCell ref="A2:P2"/>
    <mergeCell ref="B3:H3"/>
    <mergeCell ref="I3:J3"/>
    <mergeCell ref="K3:L3"/>
    <mergeCell ref="M3:P3"/>
  </mergeCells>
  <hyperlinks>
    <hyperlink ref="K11" r:id="rId1"/>
  </hyperlinks>
  <pageMargins left="0.25" right="0.25" top="0.75" bottom="0.75" header="0.3" footer="0.3"/>
  <pageSetup paperSize="9" orientation="landscape" horizontalDpi="0" verticalDpi="0"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
  <dimension ref="A1:Q26"/>
  <sheetViews>
    <sheetView tabSelected="1" zoomScale="115" zoomScaleNormal="115" workbookViewId="0">
      <selection activeCell="M5" sqref="M5:N5"/>
    </sheetView>
  </sheetViews>
  <sheetFormatPr baseColWidth="10" defaultColWidth="9.140625" defaultRowHeight="15" x14ac:dyDescent="0.25"/>
  <cols>
    <col min="1" max="16" width="8.7109375" style="1" customWidth="1"/>
    <col min="17" max="16384" width="9.140625" style="1"/>
  </cols>
  <sheetData>
    <row r="1" spans="1:16" ht="28.5" x14ac:dyDescent="0.25">
      <c r="A1" s="150" t="s">
        <v>116</v>
      </c>
      <c r="B1" s="150"/>
      <c r="C1" s="150"/>
      <c r="D1" s="150"/>
      <c r="E1" s="150"/>
      <c r="F1" s="150"/>
      <c r="G1" s="150"/>
      <c r="H1" s="150"/>
      <c r="I1" s="150"/>
      <c r="J1" s="150"/>
      <c r="K1" s="150"/>
      <c r="L1" s="150"/>
      <c r="M1" s="150"/>
      <c r="N1" s="150"/>
      <c r="O1" s="150"/>
      <c r="P1" s="150"/>
    </row>
    <row r="2" spans="1:16" ht="23.25" customHeight="1" thickBot="1" x14ac:dyDescent="0.3">
      <c r="A2" s="151"/>
      <c r="B2" s="151"/>
      <c r="C2" s="151"/>
      <c r="D2" s="151"/>
      <c r="E2" s="151"/>
      <c r="F2" s="151"/>
      <c r="G2" s="151"/>
      <c r="H2" s="151"/>
      <c r="I2" s="151"/>
      <c r="J2" s="151"/>
      <c r="K2" s="151"/>
      <c r="L2" s="151"/>
      <c r="M2" s="151"/>
      <c r="N2" s="151"/>
      <c r="O2" s="151"/>
      <c r="P2" s="151"/>
    </row>
    <row r="3" spans="1:16" x14ac:dyDescent="0.25">
      <c r="A3" s="2" t="s">
        <v>1</v>
      </c>
      <c r="B3" s="103" t="s">
        <v>117</v>
      </c>
      <c r="C3" s="103"/>
      <c r="D3" s="103"/>
      <c r="E3" s="103"/>
      <c r="F3" s="103"/>
      <c r="G3" s="103"/>
      <c r="H3" s="152"/>
      <c r="I3" s="101" t="s">
        <v>6</v>
      </c>
      <c r="J3" s="102"/>
      <c r="K3" s="153">
        <v>3</v>
      </c>
      <c r="L3" s="154"/>
      <c r="M3" s="101" t="s">
        <v>9</v>
      </c>
      <c r="N3" s="102"/>
      <c r="O3" s="102"/>
      <c r="P3" s="137"/>
    </row>
    <row r="4" spans="1:16" x14ac:dyDescent="0.25">
      <c r="A4" s="3" t="s">
        <v>2</v>
      </c>
      <c r="B4" s="119" t="s">
        <v>118</v>
      </c>
      <c r="C4" s="119"/>
      <c r="D4" s="119"/>
      <c r="E4" s="119"/>
      <c r="F4" s="119"/>
      <c r="G4" s="119"/>
      <c r="H4" s="141"/>
      <c r="I4" s="142" t="s">
        <v>7</v>
      </c>
      <c r="J4" s="143"/>
      <c r="K4" s="144">
        <v>22</v>
      </c>
      <c r="L4" s="145"/>
      <c r="M4" s="14" t="s">
        <v>10</v>
      </c>
      <c r="N4" s="15" t="s">
        <v>76</v>
      </c>
      <c r="O4" s="143" t="s">
        <v>11</v>
      </c>
      <c r="P4" s="146"/>
    </row>
    <row r="5" spans="1:16" ht="15.75" thickBot="1" x14ac:dyDescent="0.3">
      <c r="A5" s="4" t="s">
        <v>480</v>
      </c>
      <c r="B5" s="71" t="s">
        <v>506</v>
      </c>
      <c r="C5" s="5" t="s">
        <v>481</v>
      </c>
      <c r="D5" s="70" t="s">
        <v>507</v>
      </c>
      <c r="E5" s="74"/>
      <c r="F5" s="5" t="s">
        <v>12</v>
      </c>
      <c r="G5" s="147">
        <v>134231881</v>
      </c>
      <c r="H5" s="126"/>
      <c r="I5" s="107" t="s">
        <v>8</v>
      </c>
      <c r="J5" s="108"/>
      <c r="K5" s="148">
        <v>350</v>
      </c>
      <c r="L5" s="149"/>
      <c r="M5" s="16"/>
      <c r="N5" s="13"/>
      <c r="O5" s="148">
        <v>252</v>
      </c>
      <c r="P5" s="149"/>
    </row>
    <row r="6" spans="1:16" ht="15.75" thickBot="1" x14ac:dyDescent="0.3">
      <c r="A6" s="12"/>
      <c r="B6" s="12"/>
      <c r="C6" s="12"/>
      <c r="D6" s="12"/>
      <c r="E6" s="12"/>
      <c r="F6" s="12"/>
      <c r="G6" s="12"/>
      <c r="H6" s="12"/>
      <c r="I6" s="12"/>
      <c r="J6" s="12"/>
      <c r="K6" s="12"/>
      <c r="L6" s="12"/>
      <c r="M6" s="12"/>
      <c r="N6" s="12"/>
      <c r="O6" s="12"/>
      <c r="P6" s="12"/>
    </row>
    <row r="7" spans="1:16" ht="15.75" thickBot="1" x14ac:dyDescent="0.3">
      <c r="A7" s="138" t="s">
        <v>31</v>
      </c>
      <c r="B7" s="139"/>
      <c r="C7" s="131"/>
      <c r="D7" s="131"/>
      <c r="E7" s="131"/>
      <c r="F7" s="131"/>
      <c r="G7" s="139" t="s">
        <v>32</v>
      </c>
      <c r="H7" s="139"/>
      <c r="I7" s="140"/>
      <c r="J7" s="140"/>
      <c r="K7" s="140"/>
      <c r="L7" s="139" t="s">
        <v>33</v>
      </c>
      <c r="M7" s="139"/>
      <c r="N7" s="131"/>
      <c r="O7" s="131"/>
      <c r="P7" s="132"/>
    </row>
    <row r="8" spans="1:16" ht="15.75" thickBot="1" x14ac:dyDescent="0.3">
      <c r="A8" s="133"/>
      <c r="B8" s="133"/>
      <c r="C8" s="133"/>
      <c r="D8" s="133"/>
      <c r="E8" s="133"/>
      <c r="F8" s="133"/>
      <c r="G8" s="133"/>
      <c r="H8" s="133"/>
      <c r="I8" s="133"/>
      <c r="J8" s="133"/>
      <c r="K8" s="133"/>
      <c r="L8" s="133"/>
      <c r="M8" s="133"/>
      <c r="N8" s="133"/>
      <c r="O8" s="133"/>
      <c r="P8" s="133"/>
    </row>
    <row r="9" spans="1:16" ht="15.75" thickBot="1" x14ac:dyDescent="0.3">
      <c r="A9" s="111" t="s">
        <v>13</v>
      </c>
      <c r="B9" s="112"/>
      <c r="C9" s="112"/>
      <c r="D9" s="112"/>
      <c r="E9" s="112"/>
      <c r="F9" s="112"/>
      <c r="G9" s="112"/>
      <c r="H9" s="112"/>
      <c r="I9" s="112"/>
      <c r="J9" s="112"/>
      <c r="K9" s="112"/>
      <c r="L9" s="112"/>
      <c r="M9" s="112"/>
      <c r="N9" s="112"/>
      <c r="O9" s="112"/>
      <c r="P9" s="113"/>
    </row>
    <row r="10" spans="1:16" s="6" customFormat="1" x14ac:dyDescent="0.25">
      <c r="A10" s="134" t="s">
        <v>1</v>
      </c>
      <c r="B10" s="135"/>
      <c r="C10" s="135" t="s">
        <v>3</v>
      </c>
      <c r="D10" s="135"/>
      <c r="E10" s="135" t="s">
        <v>4</v>
      </c>
      <c r="F10" s="135"/>
      <c r="G10" s="104" t="s">
        <v>20</v>
      </c>
      <c r="H10" s="105"/>
      <c r="I10" s="104" t="s">
        <v>21</v>
      </c>
      <c r="J10" s="136"/>
      <c r="K10" s="102" t="s">
        <v>5</v>
      </c>
      <c r="L10" s="102"/>
      <c r="M10" s="102"/>
      <c r="N10" s="102"/>
      <c r="O10" s="102"/>
      <c r="P10" s="137"/>
    </row>
    <row r="11" spans="1:16" x14ac:dyDescent="0.25">
      <c r="A11" s="118" t="s">
        <v>119</v>
      </c>
      <c r="B11" s="119"/>
      <c r="C11" s="119" t="s">
        <v>120</v>
      </c>
      <c r="D11" s="119"/>
      <c r="E11" s="119" t="s">
        <v>121</v>
      </c>
      <c r="F11" s="119"/>
      <c r="G11" s="120"/>
      <c r="H11" s="121"/>
      <c r="I11" s="120"/>
      <c r="J11" s="122"/>
      <c r="K11" s="129"/>
      <c r="L11" s="129"/>
      <c r="M11" s="129"/>
      <c r="N11" s="129"/>
      <c r="O11" s="129"/>
      <c r="P11" s="130"/>
    </row>
    <row r="12" spans="1:16" x14ac:dyDescent="0.25">
      <c r="A12" s="118" t="s">
        <v>122</v>
      </c>
      <c r="B12" s="119"/>
      <c r="C12" s="119" t="s">
        <v>123</v>
      </c>
      <c r="D12" s="119"/>
      <c r="E12" s="119" t="s">
        <v>124</v>
      </c>
      <c r="F12" s="119"/>
      <c r="G12" s="120">
        <v>134231366</v>
      </c>
      <c r="H12" s="121"/>
      <c r="I12" s="120"/>
      <c r="J12" s="122"/>
      <c r="K12" s="123"/>
      <c r="L12" s="123"/>
      <c r="M12" s="123"/>
      <c r="N12" s="123"/>
      <c r="O12" s="123"/>
      <c r="P12" s="124"/>
    </row>
    <row r="13" spans="1:16" x14ac:dyDescent="0.25">
      <c r="A13" s="118"/>
      <c r="B13" s="119"/>
      <c r="C13" s="119"/>
      <c r="D13" s="119"/>
      <c r="E13" s="119"/>
      <c r="F13" s="119"/>
      <c r="G13" s="120"/>
      <c r="H13" s="121"/>
      <c r="I13" s="120"/>
      <c r="J13" s="122"/>
      <c r="K13" s="123"/>
      <c r="L13" s="123"/>
      <c r="M13" s="123"/>
      <c r="N13" s="123"/>
      <c r="O13" s="123"/>
      <c r="P13" s="124"/>
    </row>
    <row r="14" spans="1:16" x14ac:dyDescent="0.25">
      <c r="A14" s="118"/>
      <c r="B14" s="119"/>
      <c r="C14" s="119"/>
      <c r="D14" s="119"/>
      <c r="E14" s="119"/>
      <c r="F14" s="119"/>
      <c r="G14" s="120"/>
      <c r="H14" s="121"/>
      <c r="I14" s="120"/>
      <c r="J14" s="122"/>
      <c r="K14" s="123"/>
      <c r="L14" s="123"/>
      <c r="M14" s="123"/>
      <c r="N14" s="123"/>
      <c r="O14" s="123"/>
      <c r="P14" s="124"/>
    </row>
    <row r="15" spans="1:16" x14ac:dyDescent="0.25">
      <c r="A15" s="118"/>
      <c r="B15" s="119"/>
      <c r="C15" s="119"/>
      <c r="D15" s="119"/>
      <c r="E15" s="119"/>
      <c r="F15" s="119"/>
      <c r="G15" s="120"/>
      <c r="H15" s="121"/>
      <c r="I15" s="120"/>
      <c r="J15" s="122"/>
      <c r="K15" s="123"/>
      <c r="L15" s="123"/>
      <c r="M15" s="123"/>
      <c r="N15" s="123"/>
      <c r="O15" s="123"/>
      <c r="P15" s="124"/>
    </row>
    <row r="16" spans="1:16" ht="15.75" thickBot="1" x14ac:dyDescent="0.3">
      <c r="A16" s="125"/>
      <c r="B16" s="109"/>
      <c r="C16" s="109"/>
      <c r="D16" s="109"/>
      <c r="E16" s="109"/>
      <c r="F16" s="109"/>
      <c r="G16" s="126"/>
      <c r="H16" s="127"/>
      <c r="I16" s="126"/>
      <c r="J16" s="128"/>
      <c r="K16" s="116"/>
      <c r="L16" s="116"/>
      <c r="M16" s="116"/>
      <c r="N16" s="116"/>
      <c r="O16" s="116"/>
      <c r="P16" s="117"/>
    </row>
    <row r="17" spans="1:17" ht="15.75" thickBot="1" x14ac:dyDescent="0.3">
      <c r="A17" s="100"/>
      <c r="B17" s="100"/>
      <c r="C17" s="100"/>
      <c r="D17" s="100"/>
      <c r="E17" s="100"/>
      <c r="F17" s="100"/>
      <c r="G17" s="100"/>
      <c r="H17" s="100"/>
      <c r="I17" s="100"/>
      <c r="J17" s="100"/>
      <c r="K17" s="100"/>
      <c r="L17" s="100"/>
      <c r="M17" s="100"/>
      <c r="N17" s="100"/>
      <c r="O17" s="100"/>
      <c r="P17" s="100"/>
    </row>
    <row r="18" spans="1:17" x14ac:dyDescent="0.25">
      <c r="A18" s="101" t="s">
        <v>23</v>
      </c>
      <c r="B18" s="102"/>
      <c r="C18" s="102"/>
      <c r="D18" s="103"/>
      <c r="E18" s="103"/>
      <c r="F18" s="103"/>
      <c r="G18" s="103"/>
      <c r="H18" s="103"/>
      <c r="I18" s="103"/>
      <c r="J18" s="104" t="s">
        <v>25</v>
      </c>
      <c r="K18" s="105"/>
      <c r="L18" s="103"/>
      <c r="M18" s="103"/>
      <c r="N18" s="103"/>
      <c r="O18" s="103"/>
      <c r="P18" s="106"/>
    </row>
    <row r="19" spans="1:17" ht="15.75" thickBot="1" x14ac:dyDescent="0.3">
      <c r="A19" s="107" t="s">
        <v>24</v>
      </c>
      <c r="B19" s="108"/>
      <c r="C19" s="108"/>
      <c r="D19" s="109"/>
      <c r="E19" s="109"/>
      <c r="F19" s="109"/>
      <c r="G19" s="109"/>
      <c r="H19" s="109"/>
      <c r="I19" s="109"/>
      <c r="J19" s="108" t="s">
        <v>26</v>
      </c>
      <c r="K19" s="108"/>
      <c r="L19" s="109"/>
      <c r="M19" s="109"/>
      <c r="N19" s="109"/>
      <c r="O19" s="109"/>
      <c r="P19" s="110"/>
    </row>
    <row r="20" spans="1:17" ht="15.75" thickBot="1" x14ac:dyDescent="0.3">
      <c r="A20" s="100"/>
      <c r="B20" s="100"/>
      <c r="C20" s="100"/>
      <c r="D20" s="100"/>
      <c r="E20" s="100"/>
      <c r="F20" s="100"/>
      <c r="G20" s="100"/>
      <c r="H20" s="100"/>
      <c r="I20" s="100"/>
      <c r="J20" s="100"/>
      <c r="K20" s="100"/>
      <c r="L20" s="100"/>
      <c r="M20" s="100"/>
      <c r="N20" s="100"/>
      <c r="O20" s="100"/>
      <c r="P20" s="100"/>
    </row>
    <row r="21" spans="1:17" ht="15.75" thickBot="1" x14ac:dyDescent="0.3">
      <c r="A21" s="111" t="s">
        <v>27</v>
      </c>
      <c r="B21" s="112"/>
      <c r="C21" s="112" t="s">
        <v>28</v>
      </c>
      <c r="D21" s="112"/>
      <c r="E21" s="112"/>
      <c r="F21" s="112"/>
      <c r="G21" s="112"/>
      <c r="H21" s="112"/>
      <c r="I21" s="112"/>
      <c r="J21" s="112"/>
      <c r="K21" s="112"/>
      <c r="L21" s="112"/>
      <c r="M21" s="112"/>
      <c r="N21" s="112"/>
      <c r="O21" s="112"/>
      <c r="P21" s="113"/>
      <c r="Q21" s="7"/>
    </row>
    <row r="22" spans="1:17" ht="30" customHeight="1" x14ac:dyDescent="0.25">
      <c r="A22" s="114">
        <v>42114</v>
      </c>
      <c r="B22" s="115"/>
      <c r="C22" s="91" t="s">
        <v>125</v>
      </c>
      <c r="D22" s="91"/>
      <c r="E22" s="91"/>
      <c r="F22" s="91"/>
      <c r="G22" s="91"/>
      <c r="H22" s="91"/>
      <c r="I22" s="91"/>
      <c r="J22" s="91"/>
      <c r="K22" s="91"/>
      <c r="L22" s="91"/>
      <c r="M22" s="91"/>
      <c r="N22" s="91"/>
      <c r="O22" s="91"/>
      <c r="P22" s="92"/>
      <c r="Q22" s="7"/>
    </row>
    <row r="23" spans="1:17" ht="30" customHeight="1" x14ac:dyDescent="0.25">
      <c r="A23" s="89"/>
      <c r="B23" s="90"/>
      <c r="C23" s="97"/>
      <c r="D23" s="98"/>
      <c r="E23" s="98"/>
      <c r="F23" s="98"/>
      <c r="G23" s="98"/>
      <c r="H23" s="98"/>
      <c r="I23" s="98"/>
      <c r="J23" s="98"/>
      <c r="K23" s="98"/>
      <c r="L23" s="98"/>
      <c r="M23" s="98"/>
      <c r="N23" s="98"/>
      <c r="O23" s="98"/>
      <c r="P23" s="99"/>
      <c r="Q23" s="7"/>
    </row>
    <row r="24" spans="1:17" ht="30" customHeight="1" x14ac:dyDescent="0.25">
      <c r="A24" s="89"/>
      <c r="B24" s="90"/>
      <c r="C24" s="91"/>
      <c r="D24" s="91"/>
      <c r="E24" s="91"/>
      <c r="F24" s="91"/>
      <c r="G24" s="91"/>
      <c r="H24" s="91"/>
      <c r="I24" s="91"/>
      <c r="J24" s="91"/>
      <c r="K24" s="91"/>
      <c r="L24" s="91"/>
      <c r="M24" s="91"/>
      <c r="N24" s="91"/>
      <c r="O24" s="91"/>
      <c r="P24" s="92"/>
      <c r="Q24" s="7"/>
    </row>
    <row r="25" spans="1:17" ht="30" customHeight="1" x14ac:dyDescent="0.25">
      <c r="A25" s="89"/>
      <c r="B25" s="90"/>
      <c r="C25" s="91"/>
      <c r="D25" s="91"/>
      <c r="E25" s="91"/>
      <c r="F25" s="91"/>
      <c r="G25" s="91"/>
      <c r="H25" s="91"/>
      <c r="I25" s="91"/>
      <c r="J25" s="91"/>
      <c r="K25" s="91"/>
      <c r="L25" s="91"/>
      <c r="M25" s="91"/>
      <c r="N25" s="91"/>
      <c r="O25" s="91"/>
      <c r="P25" s="92"/>
    </row>
    <row r="26" spans="1:17" ht="30" customHeight="1" thickBot="1" x14ac:dyDescent="0.3">
      <c r="A26" s="93"/>
      <c r="B26" s="94"/>
      <c r="C26" s="95"/>
      <c r="D26" s="95"/>
      <c r="E26" s="95"/>
      <c r="F26" s="95"/>
      <c r="G26" s="95"/>
      <c r="H26" s="95"/>
      <c r="I26" s="95"/>
      <c r="J26" s="95"/>
      <c r="K26" s="95"/>
      <c r="L26" s="95"/>
      <c r="M26" s="95"/>
      <c r="N26" s="95"/>
      <c r="O26" s="95"/>
      <c r="P26" s="96"/>
    </row>
  </sheetData>
  <mergeCells count="86">
    <mergeCell ref="A24:B24"/>
    <mergeCell ref="C24:P24"/>
    <mergeCell ref="A25:B25"/>
    <mergeCell ref="C25:P25"/>
    <mergeCell ref="A26:B26"/>
    <mergeCell ref="C26:P26"/>
    <mergeCell ref="A23:B23"/>
    <mergeCell ref="C23:P23"/>
    <mergeCell ref="A17:P17"/>
    <mergeCell ref="A18:C18"/>
    <mergeCell ref="D18:I18"/>
    <mergeCell ref="J18:K18"/>
    <mergeCell ref="L18:P18"/>
    <mergeCell ref="A19:C19"/>
    <mergeCell ref="D19:I19"/>
    <mergeCell ref="J19:K19"/>
    <mergeCell ref="L19:P19"/>
    <mergeCell ref="A20:P20"/>
    <mergeCell ref="A21:B21"/>
    <mergeCell ref="C21:P21"/>
    <mergeCell ref="A22:B22"/>
    <mergeCell ref="C22:P22"/>
    <mergeCell ref="K16:P16"/>
    <mergeCell ref="A15:B15"/>
    <mergeCell ref="C15:D15"/>
    <mergeCell ref="E15:F15"/>
    <mergeCell ref="G15:H15"/>
    <mergeCell ref="I15:J15"/>
    <mergeCell ref="K15:P15"/>
    <mergeCell ref="A16:B16"/>
    <mergeCell ref="C16:D16"/>
    <mergeCell ref="E16:F16"/>
    <mergeCell ref="G16:H16"/>
    <mergeCell ref="I16:J16"/>
    <mergeCell ref="K14:P14"/>
    <mergeCell ref="A13:B13"/>
    <mergeCell ref="C13:D13"/>
    <mergeCell ref="E13:F13"/>
    <mergeCell ref="G13:H13"/>
    <mergeCell ref="I13:J13"/>
    <mergeCell ref="K13:P13"/>
    <mergeCell ref="A14:B14"/>
    <mergeCell ref="C14:D14"/>
    <mergeCell ref="E14:F14"/>
    <mergeCell ref="G14:H14"/>
    <mergeCell ref="I14:J14"/>
    <mergeCell ref="K12:P12"/>
    <mergeCell ref="A11:B11"/>
    <mergeCell ref="C11:D11"/>
    <mergeCell ref="E11:F11"/>
    <mergeCell ref="G11:H11"/>
    <mergeCell ref="I11:J11"/>
    <mergeCell ref="K11:P11"/>
    <mergeCell ref="A12:B12"/>
    <mergeCell ref="C12:D12"/>
    <mergeCell ref="E12:F12"/>
    <mergeCell ref="G12:H12"/>
    <mergeCell ref="I12:J12"/>
    <mergeCell ref="A8:P8"/>
    <mergeCell ref="A9:P9"/>
    <mergeCell ref="A10:B10"/>
    <mergeCell ref="C10:D10"/>
    <mergeCell ref="E10:F10"/>
    <mergeCell ref="G10:H10"/>
    <mergeCell ref="I10:J10"/>
    <mergeCell ref="K10:P10"/>
    <mergeCell ref="N7:P7"/>
    <mergeCell ref="B4:H4"/>
    <mergeCell ref="I4:J4"/>
    <mergeCell ref="K4:L4"/>
    <mergeCell ref="O4:P4"/>
    <mergeCell ref="G5:H5"/>
    <mergeCell ref="I5:J5"/>
    <mergeCell ref="K5:L5"/>
    <mergeCell ref="O5:P5"/>
    <mergeCell ref="A7:B7"/>
    <mergeCell ref="C7:F7"/>
    <mergeCell ref="G7:H7"/>
    <mergeCell ref="I7:K7"/>
    <mergeCell ref="L7:M7"/>
    <mergeCell ref="A1:P1"/>
    <mergeCell ref="A2:P2"/>
    <mergeCell ref="B3:H3"/>
    <mergeCell ref="I3:J3"/>
    <mergeCell ref="K3:L3"/>
    <mergeCell ref="M3:P3"/>
  </mergeCells>
  <pageMargins left="0.25" right="0.25" top="0.75" bottom="0.75" header="0.3" footer="0.3"/>
  <pageSetup paperSize="9" orientation="landscape"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
  <dimension ref="A1:Q26"/>
  <sheetViews>
    <sheetView tabSelected="1" zoomScale="115" zoomScaleNormal="115" workbookViewId="0">
      <selection activeCell="M5" sqref="M5:N5"/>
    </sheetView>
  </sheetViews>
  <sheetFormatPr baseColWidth="10" defaultColWidth="9.140625" defaultRowHeight="15" x14ac:dyDescent="0.25"/>
  <cols>
    <col min="1" max="16" width="8.7109375" style="1" customWidth="1"/>
    <col min="17" max="16384" width="9.140625" style="1"/>
  </cols>
  <sheetData>
    <row r="1" spans="1:16" ht="28.5" x14ac:dyDescent="0.25">
      <c r="A1" s="150" t="s">
        <v>155</v>
      </c>
      <c r="B1" s="150"/>
      <c r="C1" s="150"/>
      <c r="D1" s="150"/>
      <c r="E1" s="150"/>
      <c r="F1" s="150"/>
      <c r="G1" s="150"/>
      <c r="H1" s="150"/>
      <c r="I1" s="150"/>
      <c r="J1" s="150"/>
      <c r="K1" s="150"/>
      <c r="L1" s="150"/>
      <c r="M1" s="150"/>
      <c r="N1" s="150"/>
      <c r="O1" s="150"/>
      <c r="P1" s="150"/>
    </row>
    <row r="2" spans="1:16" ht="23.25" customHeight="1" thickBot="1" x14ac:dyDescent="0.3">
      <c r="A2" s="151"/>
      <c r="B2" s="151"/>
      <c r="C2" s="151"/>
      <c r="D2" s="151"/>
      <c r="E2" s="151"/>
      <c r="F2" s="151"/>
      <c r="G2" s="151"/>
      <c r="H2" s="151"/>
      <c r="I2" s="151"/>
      <c r="J2" s="151"/>
      <c r="K2" s="151"/>
      <c r="L2" s="151"/>
      <c r="M2" s="151"/>
      <c r="N2" s="151"/>
      <c r="O2" s="151"/>
      <c r="P2" s="151"/>
    </row>
    <row r="3" spans="1:16" x14ac:dyDescent="0.25">
      <c r="A3" s="2" t="s">
        <v>1</v>
      </c>
      <c r="B3" s="103" t="s">
        <v>126</v>
      </c>
      <c r="C3" s="103"/>
      <c r="D3" s="103"/>
      <c r="E3" s="103"/>
      <c r="F3" s="103"/>
      <c r="G3" s="103"/>
      <c r="H3" s="152"/>
      <c r="I3" s="101" t="s">
        <v>6</v>
      </c>
      <c r="J3" s="102"/>
      <c r="K3" s="153">
        <v>3</v>
      </c>
      <c r="L3" s="154"/>
      <c r="M3" s="101" t="s">
        <v>9</v>
      </c>
      <c r="N3" s="102"/>
      <c r="O3" s="102"/>
      <c r="P3" s="137"/>
    </row>
    <row r="4" spans="1:16" x14ac:dyDescent="0.25">
      <c r="A4" s="3" t="s">
        <v>2</v>
      </c>
      <c r="B4" s="119" t="s">
        <v>127</v>
      </c>
      <c r="C4" s="119"/>
      <c r="D4" s="119"/>
      <c r="E4" s="119"/>
      <c r="F4" s="119"/>
      <c r="G4" s="119"/>
      <c r="H4" s="141"/>
      <c r="I4" s="142" t="s">
        <v>7</v>
      </c>
      <c r="J4" s="143"/>
      <c r="K4" s="144">
        <v>19</v>
      </c>
      <c r="L4" s="145"/>
      <c r="M4" s="18" t="s">
        <v>10</v>
      </c>
      <c r="N4" s="19" t="s">
        <v>76</v>
      </c>
      <c r="O4" s="143" t="s">
        <v>11</v>
      </c>
      <c r="P4" s="146"/>
    </row>
    <row r="5" spans="1:16" ht="15.75" thickBot="1" x14ac:dyDescent="0.3">
      <c r="A5" s="4" t="s">
        <v>480</v>
      </c>
      <c r="B5" s="71" t="s">
        <v>508</v>
      </c>
      <c r="C5" s="5" t="s">
        <v>481</v>
      </c>
      <c r="D5" s="70" t="s">
        <v>509</v>
      </c>
      <c r="E5" s="74"/>
      <c r="F5" s="5" t="s">
        <v>12</v>
      </c>
      <c r="G5" s="147" t="s">
        <v>128</v>
      </c>
      <c r="H5" s="126"/>
      <c r="I5" s="107" t="s">
        <v>8</v>
      </c>
      <c r="J5" s="108"/>
      <c r="K5" s="148">
        <v>180</v>
      </c>
      <c r="L5" s="149"/>
      <c r="M5" s="20">
        <v>150</v>
      </c>
      <c r="N5" s="17"/>
      <c r="O5" s="148"/>
      <c r="P5" s="149"/>
    </row>
    <row r="6" spans="1:16" ht="15.75" thickBot="1" x14ac:dyDescent="0.3">
      <c r="A6" s="12"/>
      <c r="B6" s="12"/>
      <c r="C6" s="12"/>
      <c r="D6" s="12"/>
      <c r="E6" s="12"/>
      <c r="F6" s="12"/>
      <c r="G6" s="12"/>
      <c r="H6" s="12"/>
      <c r="I6" s="12"/>
      <c r="J6" s="12"/>
      <c r="K6" s="12"/>
      <c r="L6" s="12"/>
      <c r="M6" s="12"/>
      <c r="N6" s="12"/>
      <c r="O6" s="12"/>
      <c r="P6" s="12"/>
    </row>
    <row r="7" spans="1:16" ht="15.75" thickBot="1" x14ac:dyDescent="0.3">
      <c r="A7" s="138" t="s">
        <v>31</v>
      </c>
      <c r="B7" s="139"/>
      <c r="C7" s="131"/>
      <c r="D7" s="131"/>
      <c r="E7" s="131"/>
      <c r="F7" s="131"/>
      <c r="G7" s="139" t="s">
        <v>32</v>
      </c>
      <c r="H7" s="139"/>
      <c r="I7" s="140"/>
      <c r="J7" s="140"/>
      <c r="K7" s="140"/>
      <c r="L7" s="139" t="s">
        <v>33</v>
      </c>
      <c r="M7" s="139"/>
      <c r="N7" s="131"/>
      <c r="O7" s="131"/>
      <c r="P7" s="132"/>
    </row>
    <row r="8" spans="1:16" ht="15.75" thickBot="1" x14ac:dyDescent="0.3">
      <c r="A8" s="133"/>
      <c r="B8" s="133"/>
      <c r="C8" s="133"/>
      <c r="D8" s="133"/>
      <c r="E8" s="133"/>
      <c r="F8" s="133"/>
      <c r="G8" s="133"/>
      <c r="H8" s="133"/>
      <c r="I8" s="133"/>
      <c r="J8" s="133"/>
      <c r="K8" s="133"/>
      <c r="L8" s="133"/>
      <c r="M8" s="133"/>
      <c r="N8" s="133"/>
      <c r="O8" s="133"/>
      <c r="P8" s="133"/>
    </row>
    <row r="9" spans="1:16" ht="15.75" thickBot="1" x14ac:dyDescent="0.3">
      <c r="A9" s="111" t="s">
        <v>13</v>
      </c>
      <c r="B9" s="112"/>
      <c r="C9" s="112"/>
      <c r="D9" s="112"/>
      <c r="E9" s="112"/>
      <c r="F9" s="112"/>
      <c r="G9" s="112"/>
      <c r="H9" s="112"/>
      <c r="I9" s="112"/>
      <c r="J9" s="112"/>
      <c r="K9" s="112"/>
      <c r="L9" s="112"/>
      <c r="M9" s="112"/>
      <c r="N9" s="112"/>
      <c r="O9" s="112"/>
      <c r="P9" s="113"/>
    </row>
    <row r="10" spans="1:16" s="6" customFormat="1" x14ac:dyDescent="0.25">
      <c r="A10" s="134" t="s">
        <v>1</v>
      </c>
      <c r="B10" s="135"/>
      <c r="C10" s="135" t="s">
        <v>3</v>
      </c>
      <c r="D10" s="135"/>
      <c r="E10" s="135" t="s">
        <v>4</v>
      </c>
      <c r="F10" s="135"/>
      <c r="G10" s="104" t="s">
        <v>20</v>
      </c>
      <c r="H10" s="105"/>
      <c r="I10" s="104" t="s">
        <v>21</v>
      </c>
      <c r="J10" s="136"/>
      <c r="K10" s="102" t="s">
        <v>5</v>
      </c>
      <c r="L10" s="102"/>
      <c r="M10" s="102"/>
      <c r="N10" s="102"/>
      <c r="O10" s="102"/>
      <c r="P10" s="137"/>
    </row>
    <row r="11" spans="1:16" x14ac:dyDescent="0.25">
      <c r="A11" s="118" t="s">
        <v>129</v>
      </c>
      <c r="B11" s="119"/>
      <c r="C11" s="119" t="s">
        <v>130</v>
      </c>
      <c r="D11" s="119"/>
      <c r="E11" s="119" t="s">
        <v>131</v>
      </c>
      <c r="F11" s="119"/>
      <c r="G11" s="120" t="s">
        <v>132</v>
      </c>
      <c r="H11" s="121"/>
      <c r="I11" s="120"/>
      <c r="J11" s="122"/>
      <c r="K11" s="129" t="s">
        <v>133</v>
      </c>
      <c r="L11" s="129"/>
      <c r="M11" s="129"/>
      <c r="N11" s="129"/>
      <c r="O11" s="129"/>
      <c r="P11" s="130"/>
    </row>
    <row r="12" spans="1:16" x14ac:dyDescent="0.25">
      <c r="A12" s="118"/>
      <c r="B12" s="119"/>
      <c r="C12" s="119"/>
      <c r="D12" s="119"/>
      <c r="E12" s="119"/>
      <c r="F12" s="119"/>
      <c r="G12" s="120"/>
      <c r="H12" s="121"/>
      <c r="I12" s="120"/>
      <c r="J12" s="122"/>
      <c r="K12" s="123"/>
      <c r="L12" s="123"/>
      <c r="M12" s="123"/>
      <c r="N12" s="123"/>
      <c r="O12" s="123"/>
      <c r="P12" s="124"/>
    </row>
    <row r="13" spans="1:16" x14ac:dyDescent="0.25">
      <c r="A13" s="118"/>
      <c r="B13" s="119"/>
      <c r="C13" s="119"/>
      <c r="D13" s="119"/>
      <c r="E13" s="119"/>
      <c r="F13" s="119"/>
      <c r="G13" s="120"/>
      <c r="H13" s="121"/>
      <c r="I13" s="120"/>
      <c r="J13" s="122"/>
      <c r="K13" s="123"/>
      <c r="L13" s="123"/>
      <c r="M13" s="123"/>
      <c r="N13" s="123"/>
      <c r="O13" s="123"/>
      <c r="P13" s="124"/>
    </row>
    <row r="14" spans="1:16" x14ac:dyDescent="0.25">
      <c r="A14" s="118"/>
      <c r="B14" s="119"/>
      <c r="C14" s="119"/>
      <c r="D14" s="119"/>
      <c r="E14" s="119"/>
      <c r="F14" s="119"/>
      <c r="G14" s="120"/>
      <c r="H14" s="121"/>
      <c r="I14" s="120"/>
      <c r="J14" s="122"/>
      <c r="K14" s="123"/>
      <c r="L14" s="123"/>
      <c r="M14" s="123"/>
      <c r="N14" s="123"/>
      <c r="O14" s="123"/>
      <c r="P14" s="124"/>
    </row>
    <row r="15" spans="1:16" x14ac:dyDescent="0.25">
      <c r="A15" s="118"/>
      <c r="B15" s="119"/>
      <c r="C15" s="119"/>
      <c r="D15" s="119"/>
      <c r="E15" s="119"/>
      <c r="F15" s="119"/>
      <c r="G15" s="120"/>
      <c r="H15" s="121"/>
      <c r="I15" s="120"/>
      <c r="J15" s="122"/>
      <c r="K15" s="123"/>
      <c r="L15" s="123"/>
      <c r="M15" s="123"/>
      <c r="N15" s="123"/>
      <c r="O15" s="123"/>
      <c r="P15" s="124"/>
    </row>
    <row r="16" spans="1:16" ht="15.75" thickBot="1" x14ac:dyDescent="0.3">
      <c r="A16" s="125"/>
      <c r="B16" s="109"/>
      <c r="C16" s="109"/>
      <c r="D16" s="109"/>
      <c r="E16" s="109"/>
      <c r="F16" s="109"/>
      <c r="G16" s="126"/>
      <c r="H16" s="127"/>
      <c r="I16" s="126"/>
      <c r="J16" s="128"/>
      <c r="K16" s="116"/>
      <c r="L16" s="116"/>
      <c r="M16" s="116"/>
      <c r="N16" s="116"/>
      <c r="O16" s="116"/>
      <c r="P16" s="117"/>
    </row>
    <row r="17" spans="1:17" ht="15.75" thickBot="1" x14ac:dyDescent="0.3">
      <c r="A17" s="100"/>
      <c r="B17" s="100"/>
      <c r="C17" s="100"/>
      <c r="D17" s="100"/>
      <c r="E17" s="100"/>
      <c r="F17" s="100"/>
      <c r="G17" s="100"/>
      <c r="H17" s="100"/>
      <c r="I17" s="100"/>
      <c r="J17" s="100"/>
      <c r="K17" s="100"/>
      <c r="L17" s="100"/>
      <c r="M17" s="100"/>
      <c r="N17" s="100"/>
      <c r="O17" s="100"/>
      <c r="P17" s="100"/>
    </row>
    <row r="18" spans="1:17" x14ac:dyDescent="0.25">
      <c r="A18" s="101" t="s">
        <v>23</v>
      </c>
      <c r="B18" s="102"/>
      <c r="C18" s="102"/>
      <c r="D18" s="103"/>
      <c r="E18" s="103"/>
      <c r="F18" s="103"/>
      <c r="G18" s="103"/>
      <c r="H18" s="103"/>
      <c r="I18" s="103"/>
      <c r="J18" s="104" t="s">
        <v>25</v>
      </c>
      <c r="K18" s="105"/>
      <c r="L18" s="103"/>
      <c r="M18" s="103"/>
      <c r="N18" s="103"/>
      <c r="O18" s="103"/>
      <c r="P18" s="106"/>
    </row>
    <row r="19" spans="1:17" ht="15.75" thickBot="1" x14ac:dyDescent="0.3">
      <c r="A19" s="107" t="s">
        <v>24</v>
      </c>
      <c r="B19" s="108"/>
      <c r="C19" s="108"/>
      <c r="D19" s="109"/>
      <c r="E19" s="109"/>
      <c r="F19" s="109"/>
      <c r="G19" s="109"/>
      <c r="H19" s="109"/>
      <c r="I19" s="109"/>
      <c r="J19" s="108" t="s">
        <v>26</v>
      </c>
      <c r="K19" s="108"/>
      <c r="L19" s="109"/>
      <c r="M19" s="109"/>
      <c r="N19" s="109"/>
      <c r="O19" s="109"/>
      <c r="P19" s="110"/>
    </row>
    <row r="20" spans="1:17" ht="15.75" thickBot="1" x14ac:dyDescent="0.3">
      <c r="A20" s="100"/>
      <c r="B20" s="100"/>
      <c r="C20" s="100"/>
      <c r="D20" s="100"/>
      <c r="E20" s="100"/>
      <c r="F20" s="100"/>
      <c r="G20" s="100"/>
      <c r="H20" s="100"/>
      <c r="I20" s="100"/>
      <c r="J20" s="100"/>
      <c r="K20" s="100"/>
      <c r="L20" s="100"/>
      <c r="M20" s="100"/>
      <c r="N20" s="100"/>
      <c r="O20" s="100"/>
      <c r="P20" s="100"/>
    </row>
    <row r="21" spans="1:17" ht="15.75" thickBot="1" x14ac:dyDescent="0.3">
      <c r="A21" s="111" t="s">
        <v>27</v>
      </c>
      <c r="B21" s="112"/>
      <c r="C21" s="112" t="s">
        <v>28</v>
      </c>
      <c r="D21" s="112"/>
      <c r="E21" s="112"/>
      <c r="F21" s="112"/>
      <c r="G21" s="112"/>
      <c r="H21" s="112"/>
      <c r="I21" s="112"/>
      <c r="J21" s="112"/>
      <c r="K21" s="112"/>
      <c r="L21" s="112"/>
      <c r="M21" s="112"/>
      <c r="N21" s="112"/>
      <c r="O21" s="112"/>
      <c r="P21" s="113"/>
      <c r="Q21" s="7"/>
    </row>
    <row r="22" spans="1:17" ht="30" customHeight="1" x14ac:dyDescent="0.25">
      <c r="A22" s="114">
        <v>42117</v>
      </c>
      <c r="B22" s="115"/>
      <c r="C22" s="91" t="s">
        <v>204</v>
      </c>
      <c r="D22" s="91"/>
      <c r="E22" s="91"/>
      <c r="F22" s="91"/>
      <c r="G22" s="91"/>
      <c r="H22" s="91"/>
      <c r="I22" s="91"/>
      <c r="J22" s="91"/>
      <c r="K22" s="91"/>
      <c r="L22" s="91"/>
      <c r="M22" s="91"/>
      <c r="N22" s="91"/>
      <c r="O22" s="91"/>
      <c r="P22" s="92"/>
      <c r="Q22" s="7"/>
    </row>
    <row r="23" spans="1:17" ht="30" customHeight="1" x14ac:dyDescent="0.25">
      <c r="A23" s="89"/>
      <c r="B23" s="90"/>
      <c r="C23" s="97"/>
      <c r="D23" s="98"/>
      <c r="E23" s="98"/>
      <c r="F23" s="98"/>
      <c r="G23" s="98"/>
      <c r="H23" s="98"/>
      <c r="I23" s="98"/>
      <c r="J23" s="98"/>
      <c r="K23" s="98"/>
      <c r="L23" s="98"/>
      <c r="M23" s="98"/>
      <c r="N23" s="98"/>
      <c r="O23" s="98"/>
      <c r="P23" s="99"/>
      <c r="Q23" s="7"/>
    </row>
    <row r="24" spans="1:17" ht="30" customHeight="1" x14ac:dyDescent="0.25">
      <c r="A24" s="89"/>
      <c r="B24" s="90"/>
      <c r="C24" s="91"/>
      <c r="D24" s="91"/>
      <c r="E24" s="91"/>
      <c r="F24" s="91"/>
      <c r="G24" s="91"/>
      <c r="H24" s="91"/>
      <c r="I24" s="91"/>
      <c r="J24" s="91"/>
      <c r="K24" s="91"/>
      <c r="L24" s="91"/>
      <c r="M24" s="91"/>
      <c r="N24" s="91"/>
      <c r="O24" s="91"/>
      <c r="P24" s="92"/>
      <c r="Q24" s="7"/>
    </row>
    <row r="25" spans="1:17" ht="30" customHeight="1" x14ac:dyDescent="0.25">
      <c r="A25" s="89"/>
      <c r="B25" s="90"/>
      <c r="C25" s="91"/>
      <c r="D25" s="91"/>
      <c r="E25" s="91"/>
      <c r="F25" s="91"/>
      <c r="G25" s="91"/>
      <c r="H25" s="91"/>
      <c r="I25" s="91"/>
      <c r="J25" s="91"/>
      <c r="K25" s="91"/>
      <c r="L25" s="91"/>
      <c r="M25" s="91"/>
      <c r="N25" s="91"/>
      <c r="O25" s="91"/>
      <c r="P25" s="92"/>
    </row>
    <row r="26" spans="1:17" ht="30" customHeight="1" thickBot="1" x14ac:dyDescent="0.3">
      <c r="A26" s="93"/>
      <c r="B26" s="94"/>
      <c r="C26" s="95"/>
      <c r="D26" s="95"/>
      <c r="E26" s="95"/>
      <c r="F26" s="95"/>
      <c r="G26" s="95"/>
      <c r="H26" s="95"/>
      <c r="I26" s="95"/>
      <c r="J26" s="95"/>
      <c r="K26" s="95"/>
      <c r="L26" s="95"/>
      <c r="M26" s="95"/>
      <c r="N26" s="95"/>
      <c r="O26" s="95"/>
      <c r="P26" s="96"/>
    </row>
  </sheetData>
  <mergeCells count="86">
    <mergeCell ref="A1:P1"/>
    <mergeCell ref="A2:P2"/>
    <mergeCell ref="B3:H3"/>
    <mergeCell ref="I3:J3"/>
    <mergeCell ref="K3:L3"/>
    <mergeCell ref="M3:P3"/>
    <mergeCell ref="N7:P7"/>
    <mergeCell ref="B4:H4"/>
    <mergeCell ref="I4:J4"/>
    <mergeCell ref="K4:L4"/>
    <mergeCell ref="O4:P4"/>
    <mergeCell ref="G5:H5"/>
    <mergeCell ref="I5:J5"/>
    <mergeCell ref="K5:L5"/>
    <mergeCell ref="O5:P5"/>
    <mergeCell ref="A7:B7"/>
    <mergeCell ref="C7:F7"/>
    <mergeCell ref="G7:H7"/>
    <mergeCell ref="I7:K7"/>
    <mergeCell ref="L7:M7"/>
    <mergeCell ref="A8:P8"/>
    <mergeCell ref="A9:P9"/>
    <mergeCell ref="A10:B10"/>
    <mergeCell ref="C10:D10"/>
    <mergeCell ref="E10:F10"/>
    <mergeCell ref="G10:H10"/>
    <mergeCell ref="I10:J10"/>
    <mergeCell ref="K10:P10"/>
    <mergeCell ref="K12:P12"/>
    <mergeCell ref="A11:B11"/>
    <mergeCell ref="C11:D11"/>
    <mergeCell ref="E11:F11"/>
    <mergeCell ref="G11:H11"/>
    <mergeCell ref="I11:J11"/>
    <mergeCell ref="K11:P11"/>
    <mergeCell ref="A12:B12"/>
    <mergeCell ref="C12:D12"/>
    <mergeCell ref="E12:F12"/>
    <mergeCell ref="G12:H12"/>
    <mergeCell ref="I12:J12"/>
    <mergeCell ref="K14:P14"/>
    <mergeCell ref="A13:B13"/>
    <mergeCell ref="C13:D13"/>
    <mergeCell ref="E13:F13"/>
    <mergeCell ref="G13:H13"/>
    <mergeCell ref="I13:J13"/>
    <mergeCell ref="K13:P13"/>
    <mergeCell ref="A14:B14"/>
    <mergeCell ref="C14:D14"/>
    <mergeCell ref="E14:F14"/>
    <mergeCell ref="G14:H14"/>
    <mergeCell ref="I14:J14"/>
    <mergeCell ref="K16:P16"/>
    <mergeCell ref="A15:B15"/>
    <mergeCell ref="C15:D15"/>
    <mergeCell ref="E15:F15"/>
    <mergeCell ref="G15:H15"/>
    <mergeCell ref="I15:J15"/>
    <mergeCell ref="K15:P15"/>
    <mergeCell ref="A16:B16"/>
    <mergeCell ref="C16:D16"/>
    <mergeCell ref="E16:F16"/>
    <mergeCell ref="G16:H16"/>
    <mergeCell ref="I16:J16"/>
    <mergeCell ref="A23:B23"/>
    <mergeCell ref="C23:P23"/>
    <mergeCell ref="A17:P17"/>
    <mergeCell ref="A18:C18"/>
    <mergeCell ref="D18:I18"/>
    <mergeCell ref="J18:K18"/>
    <mergeCell ref="L18:P18"/>
    <mergeCell ref="A19:C19"/>
    <mergeCell ref="D19:I19"/>
    <mergeCell ref="J19:K19"/>
    <mergeCell ref="L19:P19"/>
    <mergeCell ref="A20:P20"/>
    <mergeCell ref="A21:B21"/>
    <mergeCell ref="C21:P21"/>
    <mergeCell ref="A22:B22"/>
    <mergeCell ref="C22:P22"/>
    <mergeCell ref="A24:B24"/>
    <mergeCell ref="C24:P24"/>
    <mergeCell ref="A25:B25"/>
    <mergeCell ref="C25:P25"/>
    <mergeCell ref="A26:B26"/>
    <mergeCell ref="C26:P26"/>
  </mergeCells>
  <hyperlinks>
    <hyperlink ref="K11" r:id="rId1"/>
  </hyperlinks>
  <pageMargins left="0.25" right="0.25" top="0.75" bottom="0.75" header="0.3" footer="0.3"/>
  <pageSetup paperSize="9" orientation="landscape" horizontalDpi="0" verticalDpi="0"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
  <dimension ref="A1:Q26"/>
  <sheetViews>
    <sheetView tabSelected="1" zoomScale="115" zoomScaleNormal="115" workbookViewId="0">
      <selection activeCell="M5" sqref="M5:N5"/>
    </sheetView>
  </sheetViews>
  <sheetFormatPr baseColWidth="10" defaultColWidth="9.140625" defaultRowHeight="15" x14ac:dyDescent="0.25"/>
  <cols>
    <col min="1" max="16" width="8.7109375" style="1" customWidth="1"/>
    <col min="17" max="16384" width="9.140625" style="1"/>
  </cols>
  <sheetData>
    <row r="1" spans="1:16" ht="28.5" x14ac:dyDescent="0.25">
      <c r="A1" s="150" t="s">
        <v>134</v>
      </c>
      <c r="B1" s="150"/>
      <c r="C1" s="150"/>
      <c r="D1" s="150"/>
      <c r="E1" s="150"/>
      <c r="F1" s="150"/>
      <c r="G1" s="150"/>
      <c r="H1" s="150"/>
      <c r="I1" s="150"/>
      <c r="J1" s="150"/>
      <c r="K1" s="150"/>
      <c r="L1" s="150"/>
      <c r="M1" s="150"/>
      <c r="N1" s="150"/>
      <c r="O1" s="150"/>
      <c r="P1" s="150"/>
    </row>
    <row r="2" spans="1:16" ht="23.25" customHeight="1" thickBot="1" x14ac:dyDescent="0.3">
      <c r="A2" s="151"/>
      <c r="B2" s="151"/>
      <c r="C2" s="151"/>
      <c r="D2" s="151"/>
      <c r="E2" s="151"/>
      <c r="F2" s="151"/>
      <c r="G2" s="151"/>
      <c r="H2" s="151"/>
      <c r="I2" s="151"/>
      <c r="J2" s="151"/>
      <c r="K2" s="151"/>
      <c r="L2" s="151"/>
      <c r="M2" s="151"/>
      <c r="N2" s="151"/>
      <c r="O2" s="151"/>
      <c r="P2" s="151"/>
    </row>
    <row r="3" spans="1:16" x14ac:dyDescent="0.25">
      <c r="A3" s="2" t="s">
        <v>1</v>
      </c>
      <c r="B3" s="103" t="s">
        <v>134</v>
      </c>
      <c r="C3" s="103"/>
      <c r="D3" s="103"/>
      <c r="E3" s="103"/>
      <c r="F3" s="103"/>
      <c r="G3" s="103"/>
      <c r="H3" s="152"/>
      <c r="I3" s="101" t="s">
        <v>6</v>
      </c>
      <c r="J3" s="102"/>
      <c r="K3" s="153" t="s">
        <v>37</v>
      </c>
      <c r="L3" s="154"/>
      <c r="M3" s="101" t="s">
        <v>9</v>
      </c>
      <c r="N3" s="102"/>
      <c r="O3" s="102"/>
      <c r="P3" s="137"/>
    </row>
    <row r="4" spans="1:16" x14ac:dyDescent="0.25">
      <c r="A4" s="3" t="s">
        <v>2</v>
      </c>
      <c r="B4" s="119" t="s">
        <v>135</v>
      </c>
      <c r="C4" s="119"/>
      <c r="D4" s="119"/>
      <c r="E4" s="119"/>
      <c r="F4" s="119"/>
      <c r="G4" s="119"/>
      <c r="H4" s="141"/>
      <c r="I4" s="142" t="s">
        <v>7</v>
      </c>
      <c r="J4" s="143"/>
      <c r="K4" s="144">
        <v>10</v>
      </c>
      <c r="L4" s="145"/>
      <c r="M4" s="18" t="s">
        <v>10</v>
      </c>
      <c r="N4" s="19" t="s">
        <v>76</v>
      </c>
      <c r="O4" s="143" t="s">
        <v>11</v>
      </c>
      <c r="P4" s="146"/>
    </row>
    <row r="5" spans="1:16" ht="15.75" thickBot="1" x14ac:dyDescent="0.3">
      <c r="A5" s="4" t="s">
        <v>480</v>
      </c>
      <c r="B5" s="71" t="s">
        <v>510</v>
      </c>
      <c r="C5" s="5" t="s">
        <v>481</v>
      </c>
      <c r="D5" s="70" t="s">
        <v>511</v>
      </c>
      <c r="E5" s="74"/>
      <c r="F5" s="5" t="s">
        <v>12</v>
      </c>
      <c r="G5" s="147">
        <v>344112330</v>
      </c>
      <c r="H5" s="126"/>
      <c r="I5" s="107" t="s">
        <v>8</v>
      </c>
      <c r="J5" s="108"/>
      <c r="K5" s="148">
        <v>150</v>
      </c>
      <c r="L5" s="149"/>
      <c r="M5" s="20"/>
      <c r="N5" s="17"/>
      <c r="O5" s="148">
        <v>144</v>
      </c>
      <c r="P5" s="149"/>
    </row>
    <row r="6" spans="1:16" ht="15.75" thickBot="1" x14ac:dyDescent="0.3">
      <c r="A6" s="12"/>
      <c r="B6" s="12"/>
      <c r="C6" s="12"/>
      <c r="D6" s="12"/>
      <c r="E6" s="12"/>
      <c r="F6" s="12"/>
      <c r="G6" s="12"/>
      <c r="H6" s="12"/>
      <c r="I6" s="12"/>
      <c r="J6" s="12"/>
      <c r="K6" s="12"/>
      <c r="L6" s="12"/>
      <c r="M6" s="12"/>
      <c r="N6" s="12"/>
      <c r="O6" s="12"/>
      <c r="P6" s="12"/>
    </row>
    <row r="7" spans="1:16" ht="15.75" thickBot="1" x14ac:dyDescent="0.3">
      <c r="A7" s="138" t="s">
        <v>31</v>
      </c>
      <c r="B7" s="139"/>
      <c r="C7" s="131"/>
      <c r="D7" s="131"/>
      <c r="E7" s="131"/>
      <c r="F7" s="131"/>
      <c r="G7" s="139" t="s">
        <v>32</v>
      </c>
      <c r="H7" s="139"/>
      <c r="I7" s="140"/>
      <c r="J7" s="140"/>
      <c r="K7" s="140"/>
      <c r="L7" s="139" t="s">
        <v>33</v>
      </c>
      <c r="M7" s="139"/>
      <c r="N7" s="131"/>
      <c r="O7" s="131"/>
      <c r="P7" s="132"/>
    </row>
    <row r="8" spans="1:16" ht="15.75" thickBot="1" x14ac:dyDescent="0.3">
      <c r="A8" s="133"/>
      <c r="B8" s="133"/>
      <c r="C8" s="133"/>
      <c r="D8" s="133"/>
      <c r="E8" s="133"/>
      <c r="F8" s="133"/>
      <c r="G8" s="133"/>
      <c r="H8" s="133"/>
      <c r="I8" s="133"/>
      <c r="J8" s="133"/>
      <c r="K8" s="133"/>
      <c r="L8" s="133"/>
      <c r="M8" s="133"/>
      <c r="N8" s="133"/>
      <c r="O8" s="133"/>
      <c r="P8" s="133"/>
    </row>
    <row r="9" spans="1:16" ht="15.75" thickBot="1" x14ac:dyDescent="0.3">
      <c r="A9" s="111" t="s">
        <v>13</v>
      </c>
      <c r="B9" s="112"/>
      <c r="C9" s="112"/>
      <c r="D9" s="112"/>
      <c r="E9" s="112"/>
      <c r="F9" s="112"/>
      <c r="G9" s="112"/>
      <c r="H9" s="112"/>
      <c r="I9" s="112"/>
      <c r="J9" s="112"/>
      <c r="K9" s="112"/>
      <c r="L9" s="112"/>
      <c r="M9" s="112"/>
      <c r="N9" s="112"/>
      <c r="O9" s="112"/>
      <c r="P9" s="113"/>
    </row>
    <row r="10" spans="1:16" s="6" customFormat="1" x14ac:dyDescent="0.25">
      <c r="A10" s="134" t="s">
        <v>1</v>
      </c>
      <c r="B10" s="135"/>
      <c r="C10" s="135" t="s">
        <v>3</v>
      </c>
      <c r="D10" s="135"/>
      <c r="E10" s="135" t="s">
        <v>4</v>
      </c>
      <c r="F10" s="135"/>
      <c r="G10" s="104" t="s">
        <v>20</v>
      </c>
      <c r="H10" s="105"/>
      <c r="I10" s="104" t="s">
        <v>21</v>
      </c>
      <c r="J10" s="136"/>
      <c r="K10" s="102" t="s">
        <v>5</v>
      </c>
      <c r="L10" s="102"/>
      <c r="M10" s="102"/>
      <c r="N10" s="102"/>
      <c r="O10" s="102"/>
      <c r="P10" s="137"/>
    </row>
    <row r="11" spans="1:16" x14ac:dyDescent="0.25">
      <c r="A11" s="118" t="s">
        <v>136</v>
      </c>
      <c r="B11" s="119"/>
      <c r="C11" s="119" t="s">
        <v>137</v>
      </c>
      <c r="D11" s="119"/>
      <c r="E11" s="119" t="s">
        <v>71</v>
      </c>
      <c r="F11" s="119"/>
      <c r="G11" s="120">
        <v>344112334</v>
      </c>
      <c r="H11" s="121"/>
      <c r="I11" s="120"/>
      <c r="J11" s="122"/>
      <c r="K11" s="129" t="s">
        <v>138</v>
      </c>
      <c r="L11" s="129"/>
      <c r="M11" s="129"/>
      <c r="N11" s="129"/>
      <c r="O11" s="129"/>
      <c r="P11" s="130"/>
    </row>
    <row r="12" spans="1:16" x14ac:dyDescent="0.25">
      <c r="A12" s="118"/>
      <c r="B12" s="119"/>
      <c r="C12" s="119"/>
      <c r="D12" s="119"/>
      <c r="E12" s="119"/>
      <c r="F12" s="119"/>
      <c r="G12" s="120"/>
      <c r="H12" s="121"/>
      <c r="I12" s="120"/>
      <c r="J12" s="122"/>
      <c r="K12" s="123"/>
      <c r="L12" s="123"/>
      <c r="M12" s="123"/>
      <c r="N12" s="123"/>
      <c r="O12" s="123"/>
      <c r="P12" s="124"/>
    </row>
    <row r="13" spans="1:16" x14ac:dyDescent="0.25">
      <c r="A13" s="118"/>
      <c r="B13" s="119"/>
      <c r="C13" s="119"/>
      <c r="D13" s="119"/>
      <c r="E13" s="119"/>
      <c r="F13" s="119"/>
      <c r="G13" s="120"/>
      <c r="H13" s="121"/>
      <c r="I13" s="120"/>
      <c r="J13" s="122"/>
      <c r="K13" s="123"/>
      <c r="L13" s="123"/>
      <c r="M13" s="123"/>
      <c r="N13" s="123"/>
      <c r="O13" s="123"/>
      <c r="P13" s="124"/>
    </row>
    <row r="14" spans="1:16" x14ac:dyDescent="0.25">
      <c r="A14" s="118"/>
      <c r="B14" s="119"/>
      <c r="C14" s="119"/>
      <c r="D14" s="119"/>
      <c r="E14" s="119"/>
      <c r="F14" s="119"/>
      <c r="G14" s="120"/>
      <c r="H14" s="121"/>
      <c r="I14" s="120"/>
      <c r="J14" s="122"/>
      <c r="K14" s="123"/>
      <c r="L14" s="123"/>
      <c r="M14" s="123"/>
      <c r="N14" s="123"/>
      <c r="O14" s="123"/>
      <c r="P14" s="124"/>
    </row>
    <row r="15" spans="1:16" x14ac:dyDescent="0.25">
      <c r="A15" s="118"/>
      <c r="B15" s="119"/>
      <c r="C15" s="119"/>
      <c r="D15" s="119"/>
      <c r="E15" s="119"/>
      <c r="F15" s="119"/>
      <c r="G15" s="120"/>
      <c r="H15" s="121"/>
      <c r="I15" s="120"/>
      <c r="J15" s="122"/>
      <c r="K15" s="123"/>
      <c r="L15" s="123"/>
      <c r="M15" s="123"/>
      <c r="N15" s="123"/>
      <c r="O15" s="123"/>
      <c r="P15" s="124"/>
    </row>
    <row r="16" spans="1:16" ht="15.75" thickBot="1" x14ac:dyDescent="0.3">
      <c r="A16" s="125"/>
      <c r="B16" s="109"/>
      <c r="C16" s="109"/>
      <c r="D16" s="109"/>
      <c r="E16" s="109"/>
      <c r="F16" s="109"/>
      <c r="G16" s="126"/>
      <c r="H16" s="127"/>
      <c r="I16" s="126"/>
      <c r="J16" s="128"/>
      <c r="K16" s="116"/>
      <c r="L16" s="116"/>
      <c r="M16" s="116"/>
      <c r="N16" s="116"/>
      <c r="O16" s="116"/>
      <c r="P16" s="117"/>
    </row>
    <row r="17" spans="1:17" ht="15.75" thickBot="1" x14ac:dyDescent="0.3">
      <c r="A17" s="100"/>
      <c r="B17" s="100"/>
      <c r="C17" s="100"/>
      <c r="D17" s="100"/>
      <c r="E17" s="100"/>
      <c r="F17" s="100"/>
      <c r="G17" s="100"/>
      <c r="H17" s="100"/>
      <c r="I17" s="100"/>
      <c r="J17" s="100"/>
      <c r="K17" s="100"/>
      <c r="L17" s="100"/>
      <c r="M17" s="100"/>
      <c r="N17" s="100"/>
      <c r="O17" s="100"/>
      <c r="P17" s="100"/>
    </row>
    <row r="18" spans="1:17" x14ac:dyDescent="0.25">
      <c r="A18" s="101" t="s">
        <v>23</v>
      </c>
      <c r="B18" s="102"/>
      <c r="C18" s="102"/>
      <c r="D18" s="103"/>
      <c r="E18" s="103"/>
      <c r="F18" s="103"/>
      <c r="G18" s="103"/>
      <c r="H18" s="103"/>
      <c r="I18" s="103"/>
      <c r="J18" s="104" t="s">
        <v>25</v>
      </c>
      <c r="K18" s="105"/>
      <c r="L18" s="103"/>
      <c r="M18" s="103"/>
      <c r="N18" s="103"/>
      <c r="O18" s="103"/>
      <c r="P18" s="106"/>
    </row>
    <row r="19" spans="1:17" ht="15.75" thickBot="1" x14ac:dyDescent="0.3">
      <c r="A19" s="107" t="s">
        <v>24</v>
      </c>
      <c r="B19" s="108"/>
      <c r="C19" s="108"/>
      <c r="D19" s="109"/>
      <c r="E19" s="109"/>
      <c r="F19" s="109"/>
      <c r="G19" s="109"/>
      <c r="H19" s="109"/>
      <c r="I19" s="109"/>
      <c r="J19" s="108" t="s">
        <v>26</v>
      </c>
      <c r="K19" s="108"/>
      <c r="L19" s="109"/>
      <c r="M19" s="109"/>
      <c r="N19" s="109"/>
      <c r="O19" s="109"/>
      <c r="P19" s="110"/>
    </row>
    <row r="20" spans="1:17" ht="15.75" thickBot="1" x14ac:dyDescent="0.3">
      <c r="A20" s="100"/>
      <c r="B20" s="100"/>
      <c r="C20" s="100"/>
      <c r="D20" s="100"/>
      <c r="E20" s="100"/>
      <c r="F20" s="100"/>
      <c r="G20" s="100"/>
      <c r="H20" s="100"/>
      <c r="I20" s="100"/>
      <c r="J20" s="100"/>
      <c r="K20" s="100"/>
      <c r="L20" s="100"/>
      <c r="M20" s="100"/>
      <c r="N20" s="100"/>
      <c r="O20" s="100"/>
      <c r="P20" s="100"/>
    </row>
    <row r="21" spans="1:17" ht="15.75" thickBot="1" x14ac:dyDescent="0.3">
      <c r="A21" s="111" t="s">
        <v>27</v>
      </c>
      <c r="B21" s="112"/>
      <c r="C21" s="112" t="s">
        <v>28</v>
      </c>
      <c r="D21" s="112"/>
      <c r="E21" s="112"/>
      <c r="F21" s="112"/>
      <c r="G21" s="112"/>
      <c r="H21" s="112"/>
      <c r="I21" s="112"/>
      <c r="J21" s="112"/>
      <c r="K21" s="112"/>
      <c r="L21" s="112"/>
      <c r="M21" s="112"/>
      <c r="N21" s="112"/>
      <c r="O21" s="112"/>
      <c r="P21" s="113"/>
      <c r="Q21" s="7"/>
    </row>
    <row r="22" spans="1:17" ht="30" customHeight="1" x14ac:dyDescent="0.25">
      <c r="A22" s="114">
        <v>42115</v>
      </c>
      <c r="B22" s="115"/>
      <c r="C22" s="91" t="s">
        <v>139</v>
      </c>
      <c r="D22" s="91"/>
      <c r="E22" s="91"/>
      <c r="F22" s="91"/>
      <c r="G22" s="91"/>
      <c r="H22" s="91"/>
      <c r="I22" s="91"/>
      <c r="J22" s="91"/>
      <c r="K22" s="91"/>
      <c r="L22" s="91"/>
      <c r="M22" s="91"/>
      <c r="N22" s="91"/>
      <c r="O22" s="91"/>
      <c r="P22" s="92"/>
      <c r="Q22" s="7"/>
    </row>
    <row r="23" spans="1:17" ht="30" customHeight="1" x14ac:dyDescent="0.25">
      <c r="A23" s="89"/>
      <c r="B23" s="90"/>
      <c r="C23" s="97"/>
      <c r="D23" s="98"/>
      <c r="E23" s="98"/>
      <c r="F23" s="98"/>
      <c r="G23" s="98"/>
      <c r="H23" s="98"/>
      <c r="I23" s="98"/>
      <c r="J23" s="98"/>
      <c r="K23" s="98"/>
      <c r="L23" s="98"/>
      <c r="M23" s="98"/>
      <c r="N23" s="98"/>
      <c r="O23" s="98"/>
      <c r="P23" s="99"/>
      <c r="Q23" s="7"/>
    </row>
    <row r="24" spans="1:17" ht="30" customHeight="1" x14ac:dyDescent="0.25">
      <c r="A24" s="89"/>
      <c r="B24" s="90"/>
      <c r="C24" s="91"/>
      <c r="D24" s="91"/>
      <c r="E24" s="91"/>
      <c r="F24" s="91"/>
      <c r="G24" s="91"/>
      <c r="H24" s="91"/>
      <c r="I24" s="91"/>
      <c r="J24" s="91"/>
      <c r="K24" s="91"/>
      <c r="L24" s="91"/>
      <c r="M24" s="91"/>
      <c r="N24" s="91"/>
      <c r="O24" s="91"/>
      <c r="P24" s="92"/>
      <c r="Q24" s="7"/>
    </row>
    <row r="25" spans="1:17" ht="30" customHeight="1" x14ac:dyDescent="0.25">
      <c r="A25" s="89"/>
      <c r="B25" s="90"/>
      <c r="C25" s="91"/>
      <c r="D25" s="91"/>
      <c r="E25" s="91"/>
      <c r="F25" s="91"/>
      <c r="G25" s="91"/>
      <c r="H25" s="91"/>
      <c r="I25" s="91"/>
      <c r="J25" s="91"/>
      <c r="K25" s="91"/>
      <c r="L25" s="91"/>
      <c r="M25" s="91"/>
      <c r="N25" s="91"/>
      <c r="O25" s="91"/>
      <c r="P25" s="92"/>
    </row>
    <row r="26" spans="1:17" ht="30" customHeight="1" thickBot="1" x14ac:dyDescent="0.3">
      <c r="A26" s="93"/>
      <c r="B26" s="94"/>
      <c r="C26" s="95"/>
      <c r="D26" s="95"/>
      <c r="E26" s="95"/>
      <c r="F26" s="95"/>
      <c r="G26" s="95"/>
      <c r="H26" s="95"/>
      <c r="I26" s="95"/>
      <c r="J26" s="95"/>
      <c r="K26" s="95"/>
      <c r="L26" s="95"/>
      <c r="M26" s="95"/>
      <c r="N26" s="95"/>
      <c r="O26" s="95"/>
      <c r="P26" s="96"/>
    </row>
  </sheetData>
  <mergeCells count="86">
    <mergeCell ref="A1:P1"/>
    <mergeCell ref="A2:P2"/>
    <mergeCell ref="B3:H3"/>
    <mergeCell ref="I3:J3"/>
    <mergeCell ref="K3:L3"/>
    <mergeCell ref="M3:P3"/>
    <mergeCell ref="N7:P7"/>
    <mergeCell ref="B4:H4"/>
    <mergeCell ref="I4:J4"/>
    <mergeCell ref="K4:L4"/>
    <mergeCell ref="O4:P4"/>
    <mergeCell ref="G5:H5"/>
    <mergeCell ref="I5:J5"/>
    <mergeCell ref="K5:L5"/>
    <mergeCell ref="O5:P5"/>
    <mergeCell ref="A7:B7"/>
    <mergeCell ref="C7:F7"/>
    <mergeCell ref="G7:H7"/>
    <mergeCell ref="I7:K7"/>
    <mergeCell ref="L7:M7"/>
    <mergeCell ref="A8:P8"/>
    <mergeCell ref="A9:P9"/>
    <mergeCell ref="A10:B10"/>
    <mergeCell ref="C10:D10"/>
    <mergeCell ref="E10:F10"/>
    <mergeCell ref="G10:H10"/>
    <mergeCell ref="I10:J10"/>
    <mergeCell ref="K10:P10"/>
    <mergeCell ref="K12:P12"/>
    <mergeCell ref="A11:B11"/>
    <mergeCell ref="C11:D11"/>
    <mergeCell ref="E11:F11"/>
    <mergeCell ref="G11:H11"/>
    <mergeCell ref="I11:J11"/>
    <mergeCell ref="K11:P11"/>
    <mergeCell ref="A12:B12"/>
    <mergeCell ref="C12:D12"/>
    <mergeCell ref="E12:F12"/>
    <mergeCell ref="G12:H12"/>
    <mergeCell ref="I12:J12"/>
    <mergeCell ref="K14:P14"/>
    <mergeCell ref="A13:B13"/>
    <mergeCell ref="C13:D13"/>
    <mergeCell ref="E13:F13"/>
    <mergeCell ref="G13:H13"/>
    <mergeCell ref="I13:J13"/>
    <mergeCell ref="K13:P13"/>
    <mergeCell ref="A14:B14"/>
    <mergeCell ref="C14:D14"/>
    <mergeCell ref="E14:F14"/>
    <mergeCell ref="G14:H14"/>
    <mergeCell ref="I14:J14"/>
    <mergeCell ref="K16:P16"/>
    <mergeCell ref="A15:B15"/>
    <mergeCell ref="C15:D15"/>
    <mergeCell ref="E15:F15"/>
    <mergeCell ref="G15:H15"/>
    <mergeCell ref="I15:J15"/>
    <mergeCell ref="K15:P15"/>
    <mergeCell ref="A16:B16"/>
    <mergeCell ref="C16:D16"/>
    <mergeCell ref="E16:F16"/>
    <mergeCell ref="G16:H16"/>
    <mergeCell ref="I16:J16"/>
    <mergeCell ref="A23:B23"/>
    <mergeCell ref="C23:P23"/>
    <mergeCell ref="A17:P17"/>
    <mergeCell ref="A18:C18"/>
    <mergeCell ref="D18:I18"/>
    <mergeCell ref="J18:K18"/>
    <mergeCell ref="L18:P18"/>
    <mergeCell ref="A19:C19"/>
    <mergeCell ref="D19:I19"/>
    <mergeCell ref="J19:K19"/>
    <mergeCell ref="L19:P19"/>
    <mergeCell ref="A20:P20"/>
    <mergeCell ref="A21:B21"/>
    <mergeCell ref="C21:P21"/>
    <mergeCell ref="A22:B22"/>
    <mergeCell ref="C22:P22"/>
    <mergeCell ref="A24:B24"/>
    <mergeCell ref="C24:P24"/>
    <mergeCell ref="A25:B25"/>
    <mergeCell ref="C25:P25"/>
    <mergeCell ref="A26:B26"/>
    <mergeCell ref="C26:P26"/>
  </mergeCells>
  <hyperlinks>
    <hyperlink ref="K11" r:id="rId1"/>
  </hyperlinks>
  <pageMargins left="0.25" right="0.25" top="0.75" bottom="0.75" header="0.3" footer="0.3"/>
  <pageSetup paperSize="9" orientation="landscape" horizontalDpi="0" verticalDpi="0"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
  <dimension ref="A1:Q26"/>
  <sheetViews>
    <sheetView tabSelected="1" zoomScale="115" zoomScaleNormal="115" workbookViewId="0">
      <selection activeCell="M5" sqref="M5:N5"/>
    </sheetView>
  </sheetViews>
  <sheetFormatPr baseColWidth="10" defaultColWidth="9.140625" defaultRowHeight="15" x14ac:dyDescent="0.25"/>
  <cols>
    <col min="1" max="16" width="8.7109375" style="1" customWidth="1"/>
    <col min="17" max="16384" width="9.140625" style="1"/>
  </cols>
  <sheetData>
    <row r="1" spans="1:16" ht="28.5" x14ac:dyDescent="0.25">
      <c r="A1" s="150" t="s">
        <v>146</v>
      </c>
      <c r="B1" s="150"/>
      <c r="C1" s="150"/>
      <c r="D1" s="150"/>
      <c r="E1" s="150"/>
      <c r="F1" s="150"/>
      <c r="G1" s="150"/>
      <c r="H1" s="150"/>
      <c r="I1" s="150"/>
      <c r="J1" s="150"/>
      <c r="K1" s="150"/>
      <c r="L1" s="150"/>
      <c r="M1" s="150"/>
      <c r="N1" s="150"/>
      <c r="O1" s="150"/>
      <c r="P1" s="150"/>
    </row>
    <row r="2" spans="1:16" ht="23.25" customHeight="1" thickBot="1" x14ac:dyDescent="0.3">
      <c r="A2" s="151"/>
      <c r="B2" s="151"/>
      <c r="C2" s="151"/>
      <c r="D2" s="151"/>
      <c r="E2" s="151"/>
      <c r="F2" s="151"/>
      <c r="G2" s="151"/>
      <c r="H2" s="151"/>
      <c r="I2" s="151"/>
      <c r="J2" s="151"/>
      <c r="K2" s="151"/>
      <c r="L2" s="151"/>
      <c r="M2" s="151"/>
      <c r="N2" s="151"/>
      <c r="O2" s="151"/>
      <c r="P2" s="151"/>
    </row>
    <row r="3" spans="1:16" x14ac:dyDescent="0.25">
      <c r="A3" s="2" t="s">
        <v>1</v>
      </c>
      <c r="B3" s="103" t="s">
        <v>146</v>
      </c>
      <c r="C3" s="103"/>
      <c r="D3" s="103"/>
      <c r="E3" s="103"/>
      <c r="F3" s="103"/>
      <c r="G3" s="103"/>
      <c r="H3" s="152"/>
      <c r="I3" s="101" t="s">
        <v>6</v>
      </c>
      <c r="J3" s="102"/>
      <c r="K3" s="153" t="s">
        <v>154</v>
      </c>
      <c r="L3" s="154"/>
      <c r="M3" s="101" t="s">
        <v>9</v>
      </c>
      <c r="N3" s="102"/>
      <c r="O3" s="102"/>
      <c r="P3" s="137"/>
    </row>
    <row r="4" spans="1:16" x14ac:dyDescent="0.25">
      <c r="A4" s="3" t="s">
        <v>2</v>
      </c>
      <c r="B4" s="119" t="s">
        <v>147</v>
      </c>
      <c r="C4" s="119"/>
      <c r="D4" s="119"/>
      <c r="E4" s="119"/>
      <c r="F4" s="119"/>
      <c r="G4" s="119"/>
      <c r="H4" s="141"/>
      <c r="I4" s="142" t="s">
        <v>7</v>
      </c>
      <c r="J4" s="143"/>
      <c r="K4" s="144">
        <v>15</v>
      </c>
      <c r="L4" s="145"/>
      <c r="M4" s="18" t="s">
        <v>10</v>
      </c>
      <c r="N4" s="19" t="s">
        <v>76</v>
      </c>
      <c r="O4" s="143" t="s">
        <v>11</v>
      </c>
      <c r="P4" s="146"/>
    </row>
    <row r="5" spans="1:16" ht="15.75" thickBot="1" x14ac:dyDescent="0.3">
      <c r="A5" s="4" t="s">
        <v>480</v>
      </c>
      <c r="B5" s="71" t="s">
        <v>494</v>
      </c>
      <c r="C5" s="5" t="s">
        <v>481</v>
      </c>
      <c r="D5" s="70" t="s">
        <v>495</v>
      </c>
      <c r="E5" s="74"/>
      <c r="F5" s="5" t="s">
        <v>12</v>
      </c>
      <c r="G5" s="147" t="s">
        <v>148</v>
      </c>
      <c r="H5" s="126"/>
      <c r="I5" s="107" t="s">
        <v>8</v>
      </c>
      <c r="J5" s="108"/>
      <c r="K5" s="148">
        <v>150</v>
      </c>
      <c r="L5" s="149"/>
      <c r="M5" s="20"/>
      <c r="N5" s="17">
        <v>5</v>
      </c>
      <c r="O5" s="148">
        <v>120</v>
      </c>
      <c r="P5" s="149"/>
    </row>
    <row r="6" spans="1:16" ht="15.75" thickBot="1" x14ac:dyDescent="0.3">
      <c r="A6" s="12"/>
      <c r="B6" s="12"/>
      <c r="C6" s="12"/>
      <c r="D6" s="12"/>
      <c r="E6" s="12"/>
      <c r="F6" s="12"/>
      <c r="G6" s="12"/>
      <c r="H6" s="12"/>
      <c r="I6" s="12"/>
      <c r="J6" s="12"/>
      <c r="K6" s="12"/>
      <c r="L6" s="12"/>
      <c r="M6" s="12"/>
      <c r="N6" s="12"/>
      <c r="O6" s="12"/>
      <c r="P6" s="12"/>
    </row>
    <row r="7" spans="1:16" ht="15.75" thickBot="1" x14ac:dyDescent="0.3">
      <c r="A7" s="138" t="s">
        <v>31</v>
      </c>
      <c r="B7" s="139"/>
      <c r="C7" s="131"/>
      <c r="D7" s="131"/>
      <c r="E7" s="131"/>
      <c r="F7" s="131"/>
      <c r="G7" s="139" t="s">
        <v>32</v>
      </c>
      <c r="H7" s="139"/>
      <c r="I7" s="140"/>
      <c r="J7" s="140"/>
      <c r="K7" s="140"/>
      <c r="L7" s="139" t="s">
        <v>33</v>
      </c>
      <c r="M7" s="139"/>
      <c r="N7" s="131"/>
      <c r="O7" s="131"/>
      <c r="P7" s="132"/>
    </row>
    <row r="8" spans="1:16" ht="15.75" thickBot="1" x14ac:dyDescent="0.3">
      <c r="A8" s="133"/>
      <c r="B8" s="133"/>
      <c r="C8" s="133"/>
      <c r="D8" s="133"/>
      <c r="E8" s="133"/>
      <c r="F8" s="133"/>
      <c r="G8" s="133"/>
      <c r="H8" s="133"/>
      <c r="I8" s="133"/>
      <c r="J8" s="133"/>
      <c r="K8" s="133"/>
      <c r="L8" s="133"/>
      <c r="M8" s="133"/>
      <c r="N8" s="133"/>
      <c r="O8" s="133"/>
      <c r="P8" s="133"/>
    </row>
    <row r="9" spans="1:16" ht="15.75" thickBot="1" x14ac:dyDescent="0.3">
      <c r="A9" s="111" t="s">
        <v>13</v>
      </c>
      <c r="B9" s="112"/>
      <c r="C9" s="112"/>
      <c r="D9" s="112"/>
      <c r="E9" s="112"/>
      <c r="F9" s="112"/>
      <c r="G9" s="112"/>
      <c r="H9" s="112"/>
      <c r="I9" s="112"/>
      <c r="J9" s="112"/>
      <c r="K9" s="112"/>
      <c r="L9" s="112"/>
      <c r="M9" s="112"/>
      <c r="N9" s="112"/>
      <c r="O9" s="112"/>
      <c r="P9" s="113"/>
    </row>
    <row r="10" spans="1:16" s="6" customFormat="1" x14ac:dyDescent="0.25">
      <c r="A10" s="134" t="s">
        <v>1</v>
      </c>
      <c r="B10" s="135"/>
      <c r="C10" s="135" t="s">
        <v>3</v>
      </c>
      <c r="D10" s="135"/>
      <c r="E10" s="135" t="s">
        <v>4</v>
      </c>
      <c r="F10" s="135"/>
      <c r="G10" s="104" t="s">
        <v>20</v>
      </c>
      <c r="H10" s="105"/>
      <c r="I10" s="104" t="s">
        <v>21</v>
      </c>
      <c r="J10" s="136"/>
      <c r="K10" s="102" t="s">
        <v>5</v>
      </c>
      <c r="L10" s="102"/>
      <c r="M10" s="102"/>
      <c r="N10" s="102"/>
      <c r="O10" s="102"/>
      <c r="P10" s="137"/>
    </row>
    <row r="11" spans="1:16" x14ac:dyDescent="0.25">
      <c r="A11" s="118" t="s">
        <v>149</v>
      </c>
      <c r="B11" s="119"/>
      <c r="C11" s="119" t="s">
        <v>150</v>
      </c>
      <c r="D11" s="119"/>
      <c r="E11" s="119" t="s">
        <v>151</v>
      </c>
      <c r="F11" s="119"/>
      <c r="G11" s="120"/>
      <c r="H11" s="121"/>
      <c r="I11" s="120"/>
      <c r="J11" s="122"/>
      <c r="K11" s="129" t="s">
        <v>152</v>
      </c>
      <c r="L11" s="129"/>
      <c r="M11" s="129"/>
      <c r="N11" s="129"/>
      <c r="O11" s="129"/>
      <c r="P11" s="130"/>
    </row>
    <row r="12" spans="1:16" x14ac:dyDescent="0.25">
      <c r="A12" s="118"/>
      <c r="B12" s="119"/>
      <c r="C12" s="119"/>
      <c r="D12" s="119"/>
      <c r="E12" s="119"/>
      <c r="F12" s="119"/>
      <c r="G12" s="120"/>
      <c r="H12" s="121"/>
      <c r="I12" s="120"/>
      <c r="J12" s="122"/>
      <c r="K12" s="123"/>
      <c r="L12" s="123"/>
      <c r="M12" s="123"/>
      <c r="N12" s="123"/>
      <c r="O12" s="123"/>
      <c r="P12" s="124"/>
    </row>
    <row r="13" spans="1:16" x14ac:dyDescent="0.25">
      <c r="A13" s="118"/>
      <c r="B13" s="119"/>
      <c r="C13" s="119"/>
      <c r="D13" s="119"/>
      <c r="E13" s="119"/>
      <c r="F13" s="119"/>
      <c r="G13" s="120"/>
      <c r="H13" s="121"/>
      <c r="I13" s="120"/>
      <c r="J13" s="122"/>
      <c r="K13" s="123"/>
      <c r="L13" s="123"/>
      <c r="M13" s="123"/>
      <c r="N13" s="123"/>
      <c r="O13" s="123"/>
      <c r="P13" s="124"/>
    </row>
    <row r="14" spans="1:16" x14ac:dyDescent="0.25">
      <c r="A14" s="118"/>
      <c r="B14" s="119"/>
      <c r="C14" s="119"/>
      <c r="D14" s="119"/>
      <c r="E14" s="119"/>
      <c r="F14" s="119"/>
      <c r="G14" s="120"/>
      <c r="H14" s="121"/>
      <c r="I14" s="120"/>
      <c r="J14" s="122"/>
      <c r="K14" s="123"/>
      <c r="L14" s="123"/>
      <c r="M14" s="123"/>
      <c r="N14" s="123"/>
      <c r="O14" s="123"/>
      <c r="P14" s="124"/>
    </row>
    <row r="15" spans="1:16" x14ac:dyDescent="0.25">
      <c r="A15" s="118"/>
      <c r="B15" s="119"/>
      <c r="C15" s="119"/>
      <c r="D15" s="119"/>
      <c r="E15" s="119"/>
      <c r="F15" s="119"/>
      <c r="G15" s="120"/>
      <c r="H15" s="121"/>
      <c r="I15" s="120"/>
      <c r="J15" s="122"/>
      <c r="K15" s="123"/>
      <c r="L15" s="123"/>
      <c r="M15" s="123"/>
      <c r="N15" s="123"/>
      <c r="O15" s="123"/>
      <c r="P15" s="124"/>
    </row>
    <row r="16" spans="1:16" ht="15.75" thickBot="1" x14ac:dyDescent="0.3">
      <c r="A16" s="125"/>
      <c r="B16" s="109"/>
      <c r="C16" s="109"/>
      <c r="D16" s="109"/>
      <c r="E16" s="109"/>
      <c r="F16" s="109"/>
      <c r="G16" s="126"/>
      <c r="H16" s="127"/>
      <c r="I16" s="126"/>
      <c r="J16" s="128"/>
      <c r="K16" s="116"/>
      <c r="L16" s="116"/>
      <c r="M16" s="116"/>
      <c r="N16" s="116"/>
      <c r="O16" s="116"/>
      <c r="P16" s="117"/>
    </row>
    <row r="17" spans="1:17" ht="15.75" thickBot="1" x14ac:dyDescent="0.3">
      <c r="A17" s="100"/>
      <c r="B17" s="100"/>
      <c r="C17" s="100"/>
      <c r="D17" s="100"/>
      <c r="E17" s="100"/>
      <c r="F17" s="100"/>
      <c r="G17" s="100"/>
      <c r="H17" s="100"/>
      <c r="I17" s="100"/>
      <c r="J17" s="100"/>
      <c r="K17" s="100"/>
      <c r="L17" s="100"/>
      <c r="M17" s="100"/>
      <c r="N17" s="100"/>
      <c r="O17" s="100"/>
      <c r="P17" s="100"/>
    </row>
    <row r="18" spans="1:17" x14ac:dyDescent="0.25">
      <c r="A18" s="101" t="s">
        <v>23</v>
      </c>
      <c r="B18" s="102"/>
      <c r="C18" s="102"/>
      <c r="D18" s="103"/>
      <c r="E18" s="103"/>
      <c r="F18" s="103"/>
      <c r="G18" s="103"/>
      <c r="H18" s="103"/>
      <c r="I18" s="103"/>
      <c r="J18" s="104" t="s">
        <v>25</v>
      </c>
      <c r="K18" s="105"/>
      <c r="L18" s="103"/>
      <c r="M18" s="103"/>
      <c r="N18" s="103"/>
      <c r="O18" s="103"/>
      <c r="P18" s="106"/>
    </row>
    <row r="19" spans="1:17" ht="15.75" thickBot="1" x14ac:dyDescent="0.3">
      <c r="A19" s="107" t="s">
        <v>24</v>
      </c>
      <c r="B19" s="108"/>
      <c r="C19" s="108"/>
      <c r="D19" s="109"/>
      <c r="E19" s="109"/>
      <c r="F19" s="109"/>
      <c r="G19" s="109"/>
      <c r="H19" s="109"/>
      <c r="I19" s="109"/>
      <c r="J19" s="108" t="s">
        <v>26</v>
      </c>
      <c r="K19" s="108"/>
      <c r="L19" s="109"/>
      <c r="M19" s="109"/>
      <c r="N19" s="109"/>
      <c r="O19" s="109"/>
      <c r="P19" s="110"/>
    </row>
    <row r="20" spans="1:17" ht="15.75" thickBot="1" x14ac:dyDescent="0.3">
      <c r="A20" s="100"/>
      <c r="B20" s="100"/>
      <c r="C20" s="100"/>
      <c r="D20" s="100"/>
      <c r="E20" s="100"/>
      <c r="F20" s="100"/>
      <c r="G20" s="100"/>
      <c r="H20" s="100"/>
      <c r="I20" s="100"/>
      <c r="J20" s="100"/>
      <c r="K20" s="100"/>
      <c r="L20" s="100"/>
      <c r="M20" s="100"/>
      <c r="N20" s="100"/>
      <c r="O20" s="100"/>
      <c r="P20" s="100"/>
    </row>
    <row r="21" spans="1:17" ht="15.75" thickBot="1" x14ac:dyDescent="0.3">
      <c r="A21" s="111" t="s">
        <v>27</v>
      </c>
      <c r="B21" s="112"/>
      <c r="C21" s="112" t="s">
        <v>28</v>
      </c>
      <c r="D21" s="112"/>
      <c r="E21" s="112"/>
      <c r="F21" s="112"/>
      <c r="G21" s="112"/>
      <c r="H21" s="112"/>
      <c r="I21" s="112"/>
      <c r="J21" s="112"/>
      <c r="K21" s="112"/>
      <c r="L21" s="112"/>
      <c r="M21" s="112"/>
      <c r="N21" s="112"/>
      <c r="O21" s="112"/>
      <c r="P21" s="113"/>
      <c r="Q21" s="7"/>
    </row>
    <row r="22" spans="1:17" ht="30" customHeight="1" x14ac:dyDescent="0.25">
      <c r="A22" s="114">
        <v>42115</v>
      </c>
      <c r="B22" s="115"/>
      <c r="C22" s="91" t="s">
        <v>153</v>
      </c>
      <c r="D22" s="91"/>
      <c r="E22" s="91"/>
      <c r="F22" s="91"/>
      <c r="G22" s="91"/>
      <c r="H22" s="91"/>
      <c r="I22" s="91"/>
      <c r="J22" s="91"/>
      <c r="K22" s="91"/>
      <c r="L22" s="91"/>
      <c r="M22" s="91"/>
      <c r="N22" s="91"/>
      <c r="O22" s="91"/>
      <c r="P22" s="92"/>
      <c r="Q22" s="7"/>
    </row>
    <row r="23" spans="1:17" ht="30" customHeight="1" x14ac:dyDescent="0.25">
      <c r="A23" s="89"/>
      <c r="B23" s="90"/>
      <c r="C23" s="97"/>
      <c r="D23" s="98"/>
      <c r="E23" s="98"/>
      <c r="F23" s="98"/>
      <c r="G23" s="98"/>
      <c r="H23" s="98"/>
      <c r="I23" s="98"/>
      <c r="J23" s="98"/>
      <c r="K23" s="98"/>
      <c r="L23" s="98"/>
      <c r="M23" s="98"/>
      <c r="N23" s="98"/>
      <c r="O23" s="98"/>
      <c r="P23" s="99"/>
      <c r="Q23" s="7"/>
    </row>
    <row r="24" spans="1:17" ht="30" customHeight="1" x14ac:dyDescent="0.25">
      <c r="A24" s="89"/>
      <c r="B24" s="90"/>
      <c r="C24" s="91"/>
      <c r="D24" s="91"/>
      <c r="E24" s="91"/>
      <c r="F24" s="91"/>
      <c r="G24" s="91"/>
      <c r="H24" s="91"/>
      <c r="I24" s="91"/>
      <c r="J24" s="91"/>
      <c r="K24" s="91"/>
      <c r="L24" s="91"/>
      <c r="M24" s="91"/>
      <c r="N24" s="91"/>
      <c r="O24" s="91"/>
      <c r="P24" s="92"/>
      <c r="Q24" s="7"/>
    </row>
    <row r="25" spans="1:17" ht="30" customHeight="1" x14ac:dyDescent="0.25">
      <c r="A25" s="89"/>
      <c r="B25" s="90"/>
      <c r="C25" s="91"/>
      <c r="D25" s="91"/>
      <c r="E25" s="91"/>
      <c r="F25" s="91"/>
      <c r="G25" s="91"/>
      <c r="H25" s="91"/>
      <c r="I25" s="91"/>
      <c r="J25" s="91"/>
      <c r="K25" s="91"/>
      <c r="L25" s="91"/>
      <c r="M25" s="91"/>
      <c r="N25" s="91"/>
      <c r="O25" s="91"/>
      <c r="P25" s="92"/>
    </row>
    <row r="26" spans="1:17" ht="30" customHeight="1" thickBot="1" x14ac:dyDescent="0.3">
      <c r="A26" s="93"/>
      <c r="B26" s="94"/>
      <c r="C26" s="95"/>
      <c r="D26" s="95"/>
      <c r="E26" s="95"/>
      <c r="F26" s="95"/>
      <c r="G26" s="95"/>
      <c r="H26" s="95"/>
      <c r="I26" s="95"/>
      <c r="J26" s="95"/>
      <c r="K26" s="95"/>
      <c r="L26" s="95"/>
      <c r="M26" s="95"/>
      <c r="N26" s="95"/>
      <c r="O26" s="95"/>
      <c r="P26" s="96"/>
    </row>
  </sheetData>
  <mergeCells count="86">
    <mergeCell ref="A1:P1"/>
    <mergeCell ref="A2:P2"/>
    <mergeCell ref="B3:H3"/>
    <mergeCell ref="I3:J3"/>
    <mergeCell ref="K3:L3"/>
    <mergeCell ref="M3:P3"/>
    <mergeCell ref="N7:P7"/>
    <mergeCell ref="B4:H4"/>
    <mergeCell ref="I4:J4"/>
    <mergeCell ref="K4:L4"/>
    <mergeCell ref="O4:P4"/>
    <mergeCell ref="G5:H5"/>
    <mergeCell ref="I5:J5"/>
    <mergeCell ref="K5:L5"/>
    <mergeCell ref="O5:P5"/>
    <mergeCell ref="A7:B7"/>
    <mergeCell ref="C7:F7"/>
    <mergeCell ref="G7:H7"/>
    <mergeCell ref="I7:K7"/>
    <mergeCell ref="L7:M7"/>
    <mergeCell ref="A8:P8"/>
    <mergeCell ref="A9:P9"/>
    <mergeCell ref="A10:B10"/>
    <mergeCell ref="C10:D10"/>
    <mergeCell ref="E10:F10"/>
    <mergeCell ref="G10:H10"/>
    <mergeCell ref="I10:J10"/>
    <mergeCell ref="K10:P10"/>
    <mergeCell ref="K12:P12"/>
    <mergeCell ref="A11:B11"/>
    <mergeCell ref="C11:D11"/>
    <mergeCell ref="E11:F11"/>
    <mergeCell ref="G11:H11"/>
    <mergeCell ref="I11:J11"/>
    <mergeCell ref="K11:P11"/>
    <mergeCell ref="A12:B12"/>
    <mergeCell ref="C12:D12"/>
    <mergeCell ref="E12:F12"/>
    <mergeCell ref="G12:H12"/>
    <mergeCell ref="I12:J12"/>
    <mergeCell ref="K14:P14"/>
    <mergeCell ref="A13:B13"/>
    <mergeCell ref="C13:D13"/>
    <mergeCell ref="E13:F13"/>
    <mergeCell ref="G13:H13"/>
    <mergeCell ref="I13:J13"/>
    <mergeCell ref="K13:P13"/>
    <mergeCell ref="A14:B14"/>
    <mergeCell ref="C14:D14"/>
    <mergeCell ref="E14:F14"/>
    <mergeCell ref="G14:H14"/>
    <mergeCell ref="I14:J14"/>
    <mergeCell ref="K16:P16"/>
    <mergeCell ref="A15:B15"/>
    <mergeCell ref="C15:D15"/>
    <mergeCell ref="E15:F15"/>
    <mergeCell ref="G15:H15"/>
    <mergeCell ref="I15:J15"/>
    <mergeCell ref="K15:P15"/>
    <mergeCell ref="A16:B16"/>
    <mergeCell ref="C16:D16"/>
    <mergeCell ref="E16:F16"/>
    <mergeCell ref="G16:H16"/>
    <mergeCell ref="I16:J16"/>
    <mergeCell ref="A23:B23"/>
    <mergeCell ref="C23:P23"/>
    <mergeCell ref="A17:P17"/>
    <mergeCell ref="A18:C18"/>
    <mergeCell ref="D18:I18"/>
    <mergeCell ref="J18:K18"/>
    <mergeCell ref="L18:P18"/>
    <mergeCell ref="A19:C19"/>
    <mergeCell ref="D19:I19"/>
    <mergeCell ref="J19:K19"/>
    <mergeCell ref="L19:P19"/>
    <mergeCell ref="A20:P20"/>
    <mergeCell ref="A21:B21"/>
    <mergeCell ref="C21:P21"/>
    <mergeCell ref="A22:B22"/>
    <mergeCell ref="C22:P22"/>
    <mergeCell ref="A24:B24"/>
    <mergeCell ref="C24:P24"/>
    <mergeCell ref="A25:B25"/>
    <mergeCell ref="C25:P25"/>
    <mergeCell ref="A26:B26"/>
    <mergeCell ref="C26:P26"/>
  </mergeCells>
  <hyperlinks>
    <hyperlink ref="K11" r:id="rId1"/>
  </hyperlinks>
  <pageMargins left="0.25" right="0.25" top="0.75" bottom="0.75" header="0.3" footer="0.3"/>
  <pageSetup paperSize="9" orientation="landscape" horizontalDpi="0" verticalDpi="0"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
  <dimension ref="A1:Q26"/>
  <sheetViews>
    <sheetView tabSelected="1" zoomScale="115" zoomScaleNormal="115" workbookViewId="0">
      <selection activeCell="M5" sqref="M5:N5"/>
    </sheetView>
  </sheetViews>
  <sheetFormatPr baseColWidth="10" defaultColWidth="9.140625" defaultRowHeight="15" x14ac:dyDescent="0.25"/>
  <cols>
    <col min="1" max="16" width="8.7109375" style="1" customWidth="1"/>
    <col min="17" max="16384" width="9.140625" style="1"/>
  </cols>
  <sheetData>
    <row r="1" spans="1:16" ht="28.5" x14ac:dyDescent="0.25">
      <c r="A1" s="150" t="s">
        <v>140</v>
      </c>
      <c r="B1" s="150"/>
      <c r="C1" s="150"/>
      <c r="D1" s="150"/>
      <c r="E1" s="150"/>
      <c r="F1" s="150"/>
      <c r="G1" s="150"/>
      <c r="H1" s="150"/>
      <c r="I1" s="150"/>
      <c r="J1" s="150"/>
      <c r="K1" s="150"/>
      <c r="L1" s="150"/>
      <c r="M1" s="150"/>
      <c r="N1" s="150"/>
      <c r="O1" s="150"/>
      <c r="P1" s="150"/>
    </row>
    <row r="2" spans="1:16" ht="23.25" customHeight="1" thickBot="1" x14ac:dyDescent="0.3">
      <c r="A2" s="151"/>
      <c r="B2" s="151"/>
      <c r="C2" s="151"/>
      <c r="D2" s="151"/>
      <c r="E2" s="151"/>
      <c r="F2" s="151"/>
      <c r="G2" s="151"/>
      <c r="H2" s="151"/>
      <c r="I2" s="151"/>
      <c r="J2" s="151"/>
      <c r="K2" s="151"/>
      <c r="L2" s="151"/>
      <c r="M2" s="151"/>
      <c r="N2" s="151"/>
      <c r="O2" s="151"/>
      <c r="P2" s="151"/>
    </row>
    <row r="3" spans="1:16" x14ac:dyDescent="0.25">
      <c r="A3" s="2" t="s">
        <v>1</v>
      </c>
      <c r="B3" s="103" t="s">
        <v>140</v>
      </c>
      <c r="C3" s="103"/>
      <c r="D3" s="103"/>
      <c r="E3" s="103"/>
      <c r="F3" s="103"/>
      <c r="G3" s="103"/>
      <c r="H3" s="152"/>
      <c r="I3" s="101" t="s">
        <v>6</v>
      </c>
      <c r="J3" s="102"/>
      <c r="K3" s="153" t="s">
        <v>37</v>
      </c>
      <c r="L3" s="154"/>
      <c r="M3" s="101" t="s">
        <v>9</v>
      </c>
      <c r="N3" s="102"/>
      <c r="O3" s="102"/>
      <c r="P3" s="137"/>
    </row>
    <row r="4" spans="1:16" x14ac:dyDescent="0.25">
      <c r="A4" s="3" t="s">
        <v>2</v>
      </c>
      <c r="B4" s="119" t="s">
        <v>141</v>
      </c>
      <c r="C4" s="119"/>
      <c r="D4" s="119"/>
      <c r="E4" s="119"/>
      <c r="F4" s="119"/>
      <c r="G4" s="119"/>
      <c r="H4" s="141"/>
      <c r="I4" s="142" t="s">
        <v>7</v>
      </c>
      <c r="J4" s="143"/>
      <c r="K4" s="144">
        <v>20</v>
      </c>
      <c r="L4" s="145"/>
      <c r="M4" s="18" t="s">
        <v>10</v>
      </c>
      <c r="N4" s="19" t="s">
        <v>76</v>
      </c>
      <c r="O4" s="143" t="s">
        <v>11</v>
      </c>
      <c r="P4" s="146"/>
    </row>
    <row r="5" spans="1:16" ht="15.75" thickBot="1" x14ac:dyDescent="0.3">
      <c r="A5" s="4" t="s">
        <v>480</v>
      </c>
      <c r="B5" s="71" t="s">
        <v>512</v>
      </c>
      <c r="C5" s="5" t="s">
        <v>481</v>
      </c>
      <c r="D5" s="70" t="s">
        <v>513</v>
      </c>
      <c r="E5" s="74"/>
      <c r="F5" s="5" t="s">
        <v>12</v>
      </c>
      <c r="G5" s="147">
        <v>148026666</v>
      </c>
      <c r="H5" s="126"/>
      <c r="I5" s="107" t="s">
        <v>8</v>
      </c>
      <c r="J5" s="108"/>
      <c r="K5" s="148">
        <v>481</v>
      </c>
      <c r="L5" s="149"/>
      <c r="M5" s="20"/>
      <c r="N5" s="17"/>
      <c r="O5" s="148">
        <v>276</v>
      </c>
      <c r="P5" s="149"/>
    </row>
    <row r="6" spans="1:16" ht="15.75" thickBot="1" x14ac:dyDescent="0.3">
      <c r="A6" s="12"/>
      <c r="B6" s="12"/>
      <c r="C6" s="12"/>
      <c r="D6" s="12"/>
      <c r="E6" s="12"/>
      <c r="F6" s="12"/>
      <c r="G6" s="12"/>
      <c r="H6" s="12"/>
      <c r="I6" s="12"/>
      <c r="J6" s="12"/>
      <c r="K6" s="12"/>
      <c r="L6" s="12"/>
      <c r="M6" s="12"/>
      <c r="N6" s="12"/>
      <c r="O6" s="12"/>
      <c r="P6" s="12"/>
    </row>
    <row r="7" spans="1:16" ht="15.75" thickBot="1" x14ac:dyDescent="0.3">
      <c r="A7" s="138" t="s">
        <v>31</v>
      </c>
      <c r="B7" s="139"/>
      <c r="C7" s="131"/>
      <c r="D7" s="131"/>
      <c r="E7" s="131"/>
      <c r="F7" s="131"/>
      <c r="G7" s="139" t="s">
        <v>32</v>
      </c>
      <c r="H7" s="139"/>
      <c r="I7" s="140"/>
      <c r="J7" s="140"/>
      <c r="K7" s="140"/>
      <c r="L7" s="139" t="s">
        <v>33</v>
      </c>
      <c r="M7" s="139"/>
      <c r="N7" s="131"/>
      <c r="O7" s="131"/>
      <c r="P7" s="132"/>
    </row>
    <row r="8" spans="1:16" ht="15.75" thickBot="1" x14ac:dyDescent="0.3">
      <c r="A8" s="133"/>
      <c r="B8" s="133"/>
      <c r="C8" s="133"/>
      <c r="D8" s="133"/>
      <c r="E8" s="133"/>
      <c r="F8" s="133"/>
      <c r="G8" s="133"/>
      <c r="H8" s="133"/>
      <c r="I8" s="133"/>
      <c r="J8" s="133"/>
      <c r="K8" s="133"/>
      <c r="L8" s="133"/>
      <c r="M8" s="133"/>
      <c r="N8" s="133"/>
      <c r="O8" s="133"/>
      <c r="P8" s="133"/>
    </row>
    <row r="9" spans="1:16" ht="15.75" thickBot="1" x14ac:dyDescent="0.3">
      <c r="A9" s="111" t="s">
        <v>13</v>
      </c>
      <c r="B9" s="112"/>
      <c r="C9" s="112"/>
      <c r="D9" s="112"/>
      <c r="E9" s="112"/>
      <c r="F9" s="112"/>
      <c r="G9" s="112"/>
      <c r="H9" s="112"/>
      <c r="I9" s="112"/>
      <c r="J9" s="112"/>
      <c r="K9" s="112"/>
      <c r="L9" s="112"/>
      <c r="M9" s="112"/>
      <c r="N9" s="112"/>
      <c r="O9" s="112"/>
      <c r="P9" s="113"/>
    </row>
    <row r="10" spans="1:16" s="6" customFormat="1" x14ac:dyDescent="0.25">
      <c r="A10" s="134" t="s">
        <v>1</v>
      </c>
      <c r="B10" s="135"/>
      <c r="C10" s="135" t="s">
        <v>3</v>
      </c>
      <c r="D10" s="135"/>
      <c r="E10" s="135" t="s">
        <v>4</v>
      </c>
      <c r="F10" s="135"/>
      <c r="G10" s="104" t="s">
        <v>20</v>
      </c>
      <c r="H10" s="105"/>
      <c r="I10" s="104" t="s">
        <v>21</v>
      </c>
      <c r="J10" s="136"/>
      <c r="K10" s="102" t="s">
        <v>5</v>
      </c>
      <c r="L10" s="102"/>
      <c r="M10" s="102"/>
      <c r="N10" s="102"/>
      <c r="O10" s="102"/>
      <c r="P10" s="137"/>
    </row>
    <row r="11" spans="1:16" x14ac:dyDescent="0.25">
      <c r="A11" s="118" t="s">
        <v>142</v>
      </c>
      <c r="B11" s="119"/>
      <c r="C11" s="119" t="s">
        <v>143</v>
      </c>
      <c r="D11" s="119"/>
      <c r="E11" s="119" t="s">
        <v>71</v>
      </c>
      <c r="F11" s="119"/>
      <c r="G11" s="120">
        <v>148026482</v>
      </c>
      <c r="H11" s="121"/>
      <c r="I11" s="120"/>
      <c r="J11" s="122"/>
      <c r="K11" s="129" t="s">
        <v>144</v>
      </c>
      <c r="L11" s="129"/>
      <c r="M11" s="129"/>
      <c r="N11" s="129"/>
      <c r="O11" s="129"/>
      <c r="P11" s="130"/>
    </row>
    <row r="12" spans="1:16" x14ac:dyDescent="0.25">
      <c r="A12" s="118"/>
      <c r="B12" s="119"/>
      <c r="C12" s="119"/>
      <c r="D12" s="119"/>
      <c r="E12" s="119"/>
      <c r="F12" s="119"/>
      <c r="G12" s="120"/>
      <c r="H12" s="121"/>
      <c r="I12" s="120"/>
      <c r="J12" s="122"/>
      <c r="K12" s="123"/>
      <c r="L12" s="123"/>
      <c r="M12" s="123"/>
      <c r="N12" s="123"/>
      <c r="O12" s="123"/>
      <c r="P12" s="124"/>
    </row>
    <row r="13" spans="1:16" x14ac:dyDescent="0.25">
      <c r="A13" s="118"/>
      <c r="B13" s="119"/>
      <c r="C13" s="119"/>
      <c r="D13" s="119"/>
      <c r="E13" s="119"/>
      <c r="F13" s="119"/>
      <c r="G13" s="120"/>
      <c r="H13" s="121"/>
      <c r="I13" s="120"/>
      <c r="J13" s="122"/>
      <c r="K13" s="123"/>
      <c r="L13" s="123"/>
      <c r="M13" s="123"/>
      <c r="N13" s="123"/>
      <c r="O13" s="123"/>
      <c r="P13" s="124"/>
    </row>
    <row r="14" spans="1:16" x14ac:dyDescent="0.25">
      <c r="A14" s="118"/>
      <c r="B14" s="119"/>
      <c r="C14" s="119"/>
      <c r="D14" s="119"/>
      <c r="E14" s="119"/>
      <c r="F14" s="119"/>
      <c r="G14" s="120"/>
      <c r="H14" s="121"/>
      <c r="I14" s="120"/>
      <c r="J14" s="122"/>
      <c r="K14" s="123"/>
      <c r="L14" s="123"/>
      <c r="M14" s="123"/>
      <c r="N14" s="123"/>
      <c r="O14" s="123"/>
      <c r="P14" s="124"/>
    </row>
    <row r="15" spans="1:16" x14ac:dyDescent="0.25">
      <c r="A15" s="118"/>
      <c r="B15" s="119"/>
      <c r="C15" s="119"/>
      <c r="D15" s="119"/>
      <c r="E15" s="119"/>
      <c r="F15" s="119"/>
      <c r="G15" s="120"/>
      <c r="H15" s="121"/>
      <c r="I15" s="120"/>
      <c r="J15" s="122"/>
      <c r="K15" s="123"/>
      <c r="L15" s="123"/>
      <c r="M15" s="123"/>
      <c r="N15" s="123"/>
      <c r="O15" s="123"/>
      <c r="P15" s="124"/>
    </row>
    <row r="16" spans="1:16" ht="15.75" thickBot="1" x14ac:dyDescent="0.3">
      <c r="A16" s="125"/>
      <c r="B16" s="109"/>
      <c r="C16" s="109"/>
      <c r="D16" s="109"/>
      <c r="E16" s="109"/>
      <c r="F16" s="109"/>
      <c r="G16" s="126"/>
      <c r="H16" s="127"/>
      <c r="I16" s="126"/>
      <c r="J16" s="128"/>
      <c r="K16" s="116"/>
      <c r="L16" s="116"/>
      <c r="M16" s="116"/>
      <c r="N16" s="116"/>
      <c r="O16" s="116"/>
      <c r="P16" s="117"/>
    </row>
    <row r="17" spans="1:17" ht="15.75" thickBot="1" x14ac:dyDescent="0.3">
      <c r="A17" s="100"/>
      <c r="B17" s="100"/>
      <c r="C17" s="100"/>
      <c r="D17" s="100"/>
      <c r="E17" s="100"/>
      <c r="F17" s="100"/>
      <c r="G17" s="100"/>
      <c r="H17" s="100"/>
      <c r="I17" s="100"/>
      <c r="J17" s="100"/>
      <c r="K17" s="100"/>
      <c r="L17" s="100"/>
      <c r="M17" s="100"/>
      <c r="N17" s="100"/>
      <c r="O17" s="100"/>
      <c r="P17" s="100"/>
    </row>
    <row r="18" spans="1:17" x14ac:dyDescent="0.25">
      <c r="A18" s="101" t="s">
        <v>23</v>
      </c>
      <c r="B18" s="102"/>
      <c r="C18" s="102"/>
      <c r="D18" s="103"/>
      <c r="E18" s="103"/>
      <c r="F18" s="103"/>
      <c r="G18" s="103"/>
      <c r="H18" s="103"/>
      <c r="I18" s="103"/>
      <c r="J18" s="104" t="s">
        <v>25</v>
      </c>
      <c r="K18" s="105"/>
      <c r="L18" s="103"/>
      <c r="M18" s="103"/>
      <c r="N18" s="103"/>
      <c r="O18" s="103"/>
      <c r="P18" s="106"/>
    </row>
    <row r="19" spans="1:17" ht="15.75" thickBot="1" x14ac:dyDescent="0.3">
      <c r="A19" s="107" t="s">
        <v>24</v>
      </c>
      <c r="B19" s="108"/>
      <c r="C19" s="108"/>
      <c r="D19" s="109"/>
      <c r="E19" s="109"/>
      <c r="F19" s="109"/>
      <c r="G19" s="109"/>
      <c r="H19" s="109"/>
      <c r="I19" s="109"/>
      <c r="J19" s="108" t="s">
        <v>26</v>
      </c>
      <c r="K19" s="108"/>
      <c r="L19" s="109"/>
      <c r="M19" s="109"/>
      <c r="N19" s="109"/>
      <c r="O19" s="109"/>
      <c r="P19" s="110"/>
    </row>
    <row r="20" spans="1:17" ht="15.75" thickBot="1" x14ac:dyDescent="0.3">
      <c r="A20" s="100"/>
      <c r="B20" s="100"/>
      <c r="C20" s="100"/>
      <c r="D20" s="100"/>
      <c r="E20" s="100"/>
      <c r="F20" s="100"/>
      <c r="G20" s="100"/>
      <c r="H20" s="100"/>
      <c r="I20" s="100"/>
      <c r="J20" s="100"/>
      <c r="K20" s="100"/>
      <c r="L20" s="100"/>
      <c r="M20" s="100"/>
      <c r="N20" s="100"/>
      <c r="O20" s="100"/>
      <c r="P20" s="100"/>
    </row>
    <row r="21" spans="1:17" ht="15.75" thickBot="1" x14ac:dyDescent="0.3">
      <c r="A21" s="111" t="s">
        <v>27</v>
      </c>
      <c r="B21" s="112"/>
      <c r="C21" s="112" t="s">
        <v>28</v>
      </c>
      <c r="D21" s="112"/>
      <c r="E21" s="112"/>
      <c r="F21" s="112"/>
      <c r="G21" s="112"/>
      <c r="H21" s="112"/>
      <c r="I21" s="112"/>
      <c r="J21" s="112"/>
      <c r="K21" s="112"/>
      <c r="L21" s="112"/>
      <c r="M21" s="112"/>
      <c r="N21" s="112"/>
      <c r="O21" s="112"/>
      <c r="P21" s="113"/>
      <c r="Q21" s="7"/>
    </row>
    <row r="22" spans="1:17" ht="30" customHeight="1" x14ac:dyDescent="0.25">
      <c r="A22" s="114">
        <v>42115</v>
      </c>
      <c r="B22" s="115"/>
      <c r="C22" s="91" t="s">
        <v>145</v>
      </c>
      <c r="D22" s="91"/>
      <c r="E22" s="91"/>
      <c r="F22" s="91"/>
      <c r="G22" s="91"/>
      <c r="H22" s="91"/>
      <c r="I22" s="91"/>
      <c r="J22" s="91"/>
      <c r="K22" s="91"/>
      <c r="L22" s="91"/>
      <c r="M22" s="91"/>
      <c r="N22" s="91"/>
      <c r="O22" s="91"/>
      <c r="P22" s="92"/>
      <c r="Q22" s="7"/>
    </row>
    <row r="23" spans="1:17" ht="30" customHeight="1" x14ac:dyDescent="0.25">
      <c r="A23" s="89"/>
      <c r="B23" s="90"/>
      <c r="C23" s="97"/>
      <c r="D23" s="98"/>
      <c r="E23" s="98"/>
      <c r="F23" s="98"/>
      <c r="G23" s="98"/>
      <c r="H23" s="98"/>
      <c r="I23" s="98"/>
      <c r="J23" s="98"/>
      <c r="K23" s="98"/>
      <c r="L23" s="98"/>
      <c r="M23" s="98"/>
      <c r="N23" s="98"/>
      <c r="O23" s="98"/>
      <c r="P23" s="99"/>
      <c r="Q23" s="7"/>
    </row>
    <row r="24" spans="1:17" ht="30" customHeight="1" x14ac:dyDescent="0.25">
      <c r="A24" s="89"/>
      <c r="B24" s="90"/>
      <c r="C24" s="91"/>
      <c r="D24" s="91"/>
      <c r="E24" s="91"/>
      <c r="F24" s="91"/>
      <c r="G24" s="91"/>
      <c r="H24" s="91"/>
      <c r="I24" s="91"/>
      <c r="J24" s="91"/>
      <c r="K24" s="91"/>
      <c r="L24" s="91"/>
      <c r="M24" s="91"/>
      <c r="N24" s="91"/>
      <c r="O24" s="91"/>
      <c r="P24" s="92"/>
      <c r="Q24" s="7"/>
    </row>
    <row r="25" spans="1:17" ht="30" customHeight="1" x14ac:dyDescent="0.25">
      <c r="A25" s="89"/>
      <c r="B25" s="90"/>
      <c r="C25" s="91"/>
      <c r="D25" s="91"/>
      <c r="E25" s="91"/>
      <c r="F25" s="91"/>
      <c r="G25" s="91"/>
      <c r="H25" s="91"/>
      <c r="I25" s="91"/>
      <c r="J25" s="91"/>
      <c r="K25" s="91"/>
      <c r="L25" s="91"/>
      <c r="M25" s="91"/>
      <c r="N25" s="91"/>
      <c r="O25" s="91"/>
      <c r="P25" s="92"/>
    </row>
    <row r="26" spans="1:17" ht="30" customHeight="1" thickBot="1" x14ac:dyDescent="0.3">
      <c r="A26" s="93"/>
      <c r="B26" s="94"/>
      <c r="C26" s="95"/>
      <c r="D26" s="95"/>
      <c r="E26" s="95"/>
      <c r="F26" s="95"/>
      <c r="G26" s="95"/>
      <c r="H26" s="95"/>
      <c r="I26" s="95"/>
      <c r="J26" s="95"/>
      <c r="K26" s="95"/>
      <c r="L26" s="95"/>
      <c r="M26" s="95"/>
      <c r="N26" s="95"/>
      <c r="O26" s="95"/>
      <c r="P26" s="96"/>
    </row>
  </sheetData>
  <mergeCells count="86">
    <mergeCell ref="A1:P1"/>
    <mergeCell ref="A2:P2"/>
    <mergeCell ref="B3:H3"/>
    <mergeCell ref="I3:J3"/>
    <mergeCell ref="K3:L3"/>
    <mergeCell ref="M3:P3"/>
    <mergeCell ref="N7:P7"/>
    <mergeCell ref="B4:H4"/>
    <mergeCell ref="I4:J4"/>
    <mergeCell ref="K4:L4"/>
    <mergeCell ref="O4:P4"/>
    <mergeCell ref="G5:H5"/>
    <mergeCell ref="I5:J5"/>
    <mergeCell ref="K5:L5"/>
    <mergeCell ref="O5:P5"/>
    <mergeCell ref="A7:B7"/>
    <mergeCell ref="C7:F7"/>
    <mergeCell ref="G7:H7"/>
    <mergeCell ref="I7:K7"/>
    <mergeCell ref="L7:M7"/>
    <mergeCell ref="A8:P8"/>
    <mergeCell ref="A9:P9"/>
    <mergeCell ref="A10:B10"/>
    <mergeCell ref="C10:D10"/>
    <mergeCell ref="E10:F10"/>
    <mergeCell ref="G10:H10"/>
    <mergeCell ref="I10:J10"/>
    <mergeCell ref="K10:P10"/>
    <mergeCell ref="K12:P12"/>
    <mergeCell ref="A11:B11"/>
    <mergeCell ref="C11:D11"/>
    <mergeCell ref="E11:F11"/>
    <mergeCell ref="G11:H11"/>
    <mergeCell ref="I11:J11"/>
    <mergeCell ref="K11:P11"/>
    <mergeCell ref="A12:B12"/>
    <mergeCell ref="C12:D12"/>
    <mergeCell ref="E12:F12"/>
    <mergeCell ref="G12:H12"/>
    <mergeCell ref="I12:J12"/>
    <mergeCell ref="K14:P14"/>
    <mergeCell ref="A13:B13"/>
    <mergeCell ref="C13:D13"/>
    <mergeCell ref="E13:F13"/>
    <mergeCell ref="G13:H13"/>
    <mergeCell ref="I13:J13"/>
    <mergeCell ref="K13:P13"/>
    <mergeCell ref="A14:B14"/>
    <mergeCell ref="C14:D14"/>
    <mergeCell ref="E14:F14"/>
    <mergeCell ref="G14:H14"/>
    <mergeCell ref="I14:J14"/>
    <mergeCell ref="K16:P16"/>
    <mergeCell ref="A15:B15"/>
    <mergeCell ref="C15:D15"/>
    <mergeCell ref="E15:F15"/>
    <mergeCell ref="G15:H15"/>
    <mergeCell ref="I15:J15"/>
    <mergeCell ref="K15:P15"/>
    <mergeCell ref="A16:B16"/>
    <mergeCell ref="C16:D16"/>
    <mergeCell ref="E16:F16"/>
    <mergeCell ref="G16:H16"/>
    <mergeCell ref="I16:J16"/>
    <mergeCell ref="A23:B23"/>
    <mergeCell ref="C23:P23"/>
    <mergeCell ref="A17:P17"/>
    <mergeCell ref="A18:C18"/>
    <mergeCell ref="D18:I18"/>
    <mergeCell ref="J18:K18"/>
    <mergeCell ref="L18:P18"/>
    <mergeCell ref="A19:C19"/>
    <mergeCell ref="D19:I19"/>
    <mergeCell ref="J19:K19"/>
    <mergeCell ref="L19:P19"/>
    <mergeCell ref="A20:P20"/>
    <mergeCell ref="A21:B21"/>
    <mergeCell ref="C21:P21"/>
    <mergeCell ref="A22:B22"/>
    <mergeCell ref="C22:P22"/>
    <mergeCell ref="A24:B24"/>
    <mergeCell ref="C24:P24"/>
    <mergeCell ref="A25:B25"/>
    <mergeCell ref="C25:P25"/>
    <mergeCell ref="A26:B26"/>
    <mergeCell ref="C26:P26"/>
  </mergeCells>
  <hyperlinks>
    <hyperlink ref="K11" r:id="rId1"/>
  </hyperlinks>
  <pageMargins left="0.25" right="0.25" top="0.75" bottom="0.75" header="0.3" footer="0.3"/>
  <pageSetup paperSize="9" orientation="landscape" horizontalDpi="0" verticalDpi="0"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
  <dimension ref="A1:Q26"/>
  <sheetViews>
    <sheetView tabSelected="1" zoomScale="115" zoomScaleNormal="115" workbookViewId="0">
      <selection activeCell="M5" sqref="M5:N5"/>
    </sheetView>
  </sheetViews>
  <sheetFormatPr baseColWidth="10" defaultColWidth="9.140625" defaultRowHeight="15" x14ac:dyDescent="0.25"/>
  <cols>
    <col min="1" max="16" width="8.7109375" style="1" customWidth="1"/>
    <col min="17" max="16384" width="9.140625" style="1"/>
  </cols>
  <sheetData>
    <row r="1" spans="1:16" ht="28.5" x14ac:dyDescent="0.25">
      <c r="A1" s="150" t="s">
        <v>156</v>
      </c>
      <c r="B1" s="150"/>
      <c r="C1" s="150"/>
      <c r="D1" s="150"/>
      <c r="E1" s="150"/>
      <c r="F1" s="150"/>
      <c r="G1" s="150"/>
      <c r="H1" s="150"/>
      <c r="I1" s="150"/>
      <c r="J1" s="150"/>
      <c r="K1" s="150"/>
      <c r="L1" s="150"/>
      <c r="M1" s="150"/>
      <c r="N1" s="150"/>
      <c r="O1" s="150"/>
      <c r="P1" s="150"/>
    </row>
    <row r="2" spans="1:16" ht="23.25" customHeight="1" thickBot="1" x14ac:dyDescent="0.3">
      <c r="A2" s="151"/>
      <c r="B2" s="151"/>
      <c r="C2" s="151"/>
      <c r="D2" s="151"/>
      <c r="E2" s="151"/>
      <c r="F2" s="151"/>
      <c r="G2" s="151"/>
      <c r="H2" s="151"/>
      <c r="I2" s="151"/>
      <c r="J2" s="151"/>
      <c r="K2" s="151"/>
      <c r="L2" s="151"/>
      <c r="M2" s="151"/>
      <c r="N2" s="151"/>
      <c r="O2" s="151"/>
      <c r="P2" s="151"/>
    </row>
    <row r="3" spans="1:16" x14ac:dyDescent="0.25">
      <c r="A3" s="2" t="s">
        <v>1</v>
      </c>
      <c r="B3" s="103" t="s">
        <v>157</v>
      </c>
      <c r="C3" s="103"/>
      <c r="D3" s="103"/>
      <c r="E3" s="103"/>
      <c r="F3" s="103"/>
      <c r="G3" s="103"/>
      <c r="H3" s="152"/>
      <c r="I3" s="101" t="s">
        <v>6</v>
      </c>
      <c r="J3" s="102"/>
      <c r="K3" s="153" t="s">
        <v>154</v>
      </c>
      <c r="L3" s="154"/>
      <c r="M3" s="101" t="s">
        <v>9</v>
      </c>
      <c r="N3" s="102"/>
      <c r="O3" s="102"/>
      <c r="P3" s="137"/>
    </row>
    <row r="4" spans="1:16" x14ac:dyDescent="0.25">
      <c r="A4" s="3" t="s">
        <v>2</v>
      </c>
      <c r="B4" s="119" t="s">
        <v>158</v>
      </c>
      <c r="C4" s="119"/>
      <c r="D4" s="119"/>
      <c r="E4" s="119"/>
      <c r="F4" s="119"/>
      <c r="G4" s="119"/>
      <c r="H4" s="141"/>
      <c r="I4" s="142" t="s">
        <v>7</v>
      </c>
      <c r="J4" s="143"/>
      <c r="K4" s="144">
        <v>15</v>
      </c>
      <c r="L4" s="145"/>
      <c r="M4" s="18" t="s">
        <v>10</v>
      </c>
      <c r="N4" s="19" t="s">
        <v>76</v>
      </c>
      <c r="O4" s="143" t="s">
        <v>11</v>
      </c>
      <c r="P4" s="146"/>
    </row>
    <row r="5" spans="1:16" ht="15.75" thickBot="1" x14ac:dyDescent="0.3">
      <c r="A5" s="4" t="s">
        <v>480</v>
      </c>
      <c r="B5" s="71" t="s">
        <v>514</v>
      </c>
      <c r="C5" s="5" t="s">
        <v>481</v>
      </c>
      <c r="D5" s="70" t="s">
        <v>515</v>
      </c>
      <c r="E5" s="74"/>
      <c r="F5" s="5" t="s">
        <v>12</v>
      </c>
      <c r="G5" s="147" t="s">
        <v>161</v>
      </c>
      <c r="H5" s="126"/>
      <c r="I5" s="107" t="s">
        <v>8</v>
      </c>
      <c r="J5" s="108"/>
      <c r="K5" s="148">
        <v>200</v>
      </c>
      <c r="L5" s="149"/>
      <c r="M5" s="20"/>
      <c r="N5" s="17"/>
      <c r="O5" s="148">
        <v>156</v>
      </c>
      <c r="P5" s="149"/>
    </row>
    <row r="6" spans="1:16" ht="15.75" thickBot="1" x14ac:dyDescent="0.3">
      <c r="A6" s="12"/>
      <c r="B6" s="12"/>
      <c r="C6" s="12"/>
      <c r="D6" s="12"/>
      <c r="E6" s="12"/>
      <c r="F6" s="12"/>
      <c r="G6" s="12"/>
      <c r="H6" s="12"/>
      <c r="I6" s="12"/>
      <c r="J6" s="12"/>
      <c r="K6" s="12"/>
      <c r="L6" s="12"/>
      <c r="M6" s="12"/>
      <c r="N6" s="12"/>
      <c r="O6" s="12"/>
      <c r="P6" s="12"/>
    </row>
    <row r="7" spans="1:16" ht="15.75" thickBot="1" x14ac:dyDescent="0.3">
      <c r="A7" s="138" t="s">
        <v>31</v>
      </c>
      <c r="B7" s="139"/>
      <c r="C7" s="131"/>
      <c r="D7" s="131"/>
      <c r="E7" s="131"/>
      <c r="F7" s="131"/>
      <c r="G7" s="139" t="s">
        <v>32</v>
      </c>
      <c r="H7" s="139"/>
      <c r="I7" s="140"/>
      <c r="J7" s="140"/>
      <c r="K7" s="140"/>
      <c r="L7" s="139" t="s">
        <v>33</v>
      </c>
      <c r="M7" s="139"/>
      <c r="N7" s="131"/>
      <c r="O7" s="131"/>
      <c r="P7" s="132"/>
    </row>
    <row r="8" spans="1:16" ht="15.75" thickBot="1" x14ac:dyDescent="0.3">
      <c r="A8" s="133"/>
      <c r="B8" s="133"/>
      <c r="C8" s="133"/>
      <c r="D8" s="133"/>
      <c r="E8" s="133"/>
      <c r="F8" s="133"/>
      <c r="G8" s="133"/>
      <c r="H8" s="133"/>
      <c r="I8" s="133"/>
      <c r="J8" s="133"/>
      <c r="K8" s="133"/>
      <c r="L8" s="133"/>
      <c r="M8" s="133"/>
      <c r="N8" s="133"/>
      <c r="O8" s="133"/>
      <c r="P8" s="133"/>
    </row>
    <row r="9" spans="1:16" ht="15.75" thickBot="1" x14ac:dyDescent="0.3">
      <c r="A9" s="111" t="s">
        <v>13</v>
      </c>
      <c r="B9" s="112"/>
      <c r="C9" s="112"/>
      <c r="D9" s="112"/>
      <c r="E9" s="112"/>
      <c r="F9" s="112"/>
      <c r="G9" s="112"/>
      <c r="H9" s="112"/>
      <c r="I9" s="112"/>
      <c r="J9" s="112"/>
      <c r="K9" s="112"/>
      <c r="L9" s="112"/>
      <c r="M9" s="112"/>
      <c r="N9" s="112"/>
      <c r="O9" s="112"/>
      <c r="P9" s="113"/>
    </row>
    <row r="10" spans="1:16" s="6" customFormat="1" x14ac:dyDescent="0.25">
      <c r="A10" s="134" t="s">
        <v>1</v>
      </c>
      <c r="B10" s="135"/>
      <c r="C10" s="135" t="s">
        <v>3</v>
      </c>
      <c r="D10" s="135"/>
      <c r="E10" s="135" t="s">
        <v>4</v>
      </c>
      <c r="F10" s="135"/>
      <c r="G10" s="104" t="s">
        <v>20</v>
      </c>
      <c r="H10" s="105"/>
      <c r="I10" s="104" t="s">
        <v>21</v>
      </c>
      <c r="J10" s="136"/>
      <c r="K10" s="102" t="s">
        <v>5</v>
      </c>
      <c r="L10" s="102"/>
      <c r="M10" s="102"/>
      <c r="N10" s="102"/>
      <c r="O10" s="102"/>
      <c r="P10" s="137"/>
    </row>
    <row r="11" spans="1:16" x14ac:dyDescent="0.25">
      <c r="A11" s="118" t="s">
        <v>159</v>
      </c>
      <c r="B11" s="119"/>
      <c r="C11" s="119" t="s">
        <v>160</v>
      </c>
      <c r="D11" s="119"/>
      <c r="E11" s="119" t="s">
        <v>151</v>
      </c>
      <c r="F11" s="119"/>
      <c r="G11" s="120"/>
      <c r="H11" s="121"/>
      <c r="I11" s="120"/>
      <c r="J11" s="122"/>
      <c r="K11" s="129" t="s">
        <v>162</v>
      </c>
      <c r="L11" s="129"/>
      <c r="M11" s="129"/>
      <c r="N11" s="129"/>
      <c r="O11" s="129"/>
      <c r="P11" s="130"/>
    </row>
    <row r="12" spans="1:16" x14ac:dyDescent="0.25">
      <c r="A12" s="118"/>
      <c r="B12" s="119"/>
      <c r="C12" s="119"/>
      <c r="D12" s="119"/>
      <c r="E12" s="119"/>
      <c r="F12" s="119"/>
      <c r="G12" s="120"/>
      <c r="H12" s="121"/>
      <c r="I12" s="120"/>
      <c r="J12" s="122"/>
      <c r="K12" s="123"/>
      <c r="L12" s="123"/>
      <c r="M12" s="123"/>
      <c r="N12" s="123"/>
      <c r="O12" s="123"/>
      <c r="P12" s="124"/>
    </row>
    <row r="13" spans="1:16" x14ac:dyDescent="0.25">
      <c r="A13" s="118"/>
      <c r="B13" s="119"/>
      <c r="C13" s="119"/>
      <c r="D13" s="119"/>
      <c r="E13" s="119"/>
      <c r="F13" s="119"/>
      <c r="G13" s="120"/>
      <c r="H13" s="121"/>
      <c r="I13" s="120"/>
      <c r="J13" s="122"/>
      <c r="K13" s="123"/>
      <c r="L13" s="123"/>
      <c r="M13" s="123"/>
      <c r="N13" s="123"/>
      <c r="O13" s="123"/>
      <c r="P13" s="124"/>
    </row>
    <row r="14" spans="1:16" x14ac:dyDescent="0.25">
      <c r="A14" s="118"/>
      <c r="B14" s="119"/>
      <c r="C14" s="119"/>
      <c r="D14" s="119"/>
      <c r="E14" s="119"/>
      <c r="F14" s="119"/>
      <c r="G14" s="120"/>
      <c r="H14" s="121"/>
      <c r="I14" s="120"/>
      <c r="J14" s="122"/>
      <c r="K14" s="123"/>
      <c r="L14" s="123"/>
      <c r="M14" s="123"/>
      <c r="N14" s="123"/>
      <c r="O14" s="123"/>
      <c r="P14" s="124"/>
    </row>
    <row r="15" spans="1:16" x14ac:dyDescent="0.25">
      <c r="A15" s="118"/>
      <c r="B15" s="119"/>
      <c r="C15" s="119"/>
      <c r="D15" s="119"/>
      <c r="E15" s="119"/>
      <c r="F15" s="119"/>
      <c r="G15" s="120"/>
      <c r="H15" s="121"/>
      <c r="I15" s="120"/>
      <c r="J15" s="122"/>
      <c r="K15" s="123"/>
      <c r="L15" s="123"/>
      <c r="M15" s="123"/>
      <c r="N15" s="123"/>
      <c r="O15" s="123"/>
      <c r="P15" s="124"/>
    </row>
    <row r="16" spans="1:16" ht="15.75" thickBot="1" x14ac:dyDescent="0.3">
      <c r="A16" s="125"/>
      <c r="B16" s="109"/>
      <c r="C16" s="109"/>
      <c r="D16" s="109"/>
      <c r="E16" s="109"/>
      <c r="F16" s="109"/>
      <c r="G16" s="126"/>
      <c r="H16" s="127"/>
      <c r="I16" s="126"/>
      <c r="J16" s="128"/>
      <c r="K16" s="116"/>
      <c r="L16" s="116"/>
      <c r="M16" s="116"/>
      <c r="N16" s="116"/>
      <c r="O16" s="116"/>
      <c r="P16" s="117"/>
    </row>
    <row r="17" spans="1:17" ht="15.75" thickBot="1" x14ac:dyDescent="0.3">
      <c r="A17" s="100"/>
      <c r="B17" s="100"/>
      <c r="C17" s="100"/>
      <c r="D17" s="100"/>
      <c r="E17" s="100"/>
      <c r="F17" s="100"/>
      <c r="G17" s="100"/>
      <c r="H17" s="100"/>
      <c r="I17" s="100"/>
      <c r="J17" s="100"/>
      <c r="K17" s="100"/>
      <c r="L17" s="100"/>
      <c r="M17" s="100"/>
      <c r="N17" s="100"/>
      <c r="O17" s="100"/>
      <c r="P17" s="100"/>
    </row>
    <row r="18" spans="1:17" x14ac:dyDescent="0.25">
      <c r="A18" s="101" t="s">
        <v>23</v>
      </c>
      <c r="B18" s="102"/>
      <c r="C18" s="102"/>
      <c r="D18" s="103"/>
      <c r="E18" s="103"/>
      <c r="F18" s="103"/>
      <c r="G18" s="103"/>
      <c r="H18" s="103"/>
      <c r="I18" s="103"/>
      <c r="J18" s="104" t="s">
        <v>25</v>
      </c>
      <c r="K18" s="105"/>
      <c r="L18" s="103"/>
      <c r="M18" s="103"/>
      <c r="N18" s="103"/>
      <c r="O18" s="103"/>
      <c r="P18" s="106"/>
    </row>
    <row r="19" spans="1:17" ht="15.75" thickBot="1" x14ac:dyDescent="0.3">
      <c r="A19" s="107" t="s">
        <v>24</v>
      </c>
      <c r="B19" s="108"/>
      <c r="C19" s="108"/>
      <c r="D19" s="109"/>
      <c r="E19" s="109"/>
      <c r="F19" s="109"/>
      <c r="G19" s="109"/>
      <c r="H19" s="109"/>
      <c r="I19" s="109"/>
      <c r="J19" s="108" t="s">
        <v>26</v>
      </c>
      <c r="K19" s="108"/>
      <c r="L19" s="109"/>
      <c r="M19" s="109"/>
      <c r="N19" s="109"/>
      <c r="O19" s="109"/>
      <c r="P19" s="110"/>
    </row>
    <row r="20" spans="1:17" ht="15.75" thickBot="1" x14ac:dyDescent="0.3">
      <c r="A20" s="100"/>
      <c r="B20" s="100"/>
      <c r="C20" s="100"/>
      <c r="D20" s="100"/>
      <c r="E20" s="100"/>
      <c r="F20" s="100"/>
      <c r="G20" s="100"/>
      <c r="H20" s="100"/>
      <c r="I20" s="100"/>
      <c r="J20" s="100"/>
      <c r="K20" s="100"/>
      <c r="L20" s="100"/>
      <c r="M20" s="100"/>
      <c r="N20" s="100"/>
      <c r="O20" s="100"/>
      <c r="P20" s="100"/>
    </row>
    <row r="21" spans="1:17" ht="15.75" thickBot="1" x14ac:dyDescent="0.3">
      <c r="A21" s="111" t="s">
        <v>27</v>
      </c>
      <c r="B21" s="112"/>
      <c r="C21" s="112" t="s">
        <v>28</v>
      </c>
      <c r="D21" s="112"/>
      <c r="E21" s="112"/>
      <c r="F21" s="112"/>
      <c r="G21" s="112"/>
      <c r="H21" s="112"/>
      <c r="I21" s="112"/>
      <c r="J21" s="112"/>
      <c r="K21" s="112"/>
      <c r="L21" s="112"/>
      <c r="M21" s="112"/>
      <c r="N21" s="112"/>
      <c r="O21" s="112"/>
      <c r="P21" s="113"/>
      <c r="Q21" s="7"/>
    </row>
    <row r="22" spans="1:17" ht="30" customHeight="1" x14ac:dyDescent="0.25">
      <c r="A22" s="114">
        <v>42115</v>
      </c>
      <c r="B22" s="115"/>
      <c r="C22" s="91" t="s">
        <v>163</v>
      </c>
      <c r="D22" s="91"/>
      <c r="E22" s="91"/>
      <c r="F22" s="91"/>
      <c r="G22" s="91"/>
      <c r="H22" s="91"/>
      <c r="I22" s="91"/>
      <c r="J22" s="91"/>
      <c r="K22" s="91"/>
      <c r="L22" s="91"/>
      <c r="M22" s="91"/>
      <c r="N22" s="91"/>
      <c r="O22" s="91"/>
      <c r="P22" s="92"/>
      <c r="Q22" s="7"/>
    </row>
    <row r="23" spans="1:17" ht="30" customHeight="1" x14ac:dyDescent="0.25">
      <c r="A23" s="89"/>
      <c r="B23" s="90"/>
      <c r="C23" s="97"/>
      <c r="D23" s="98"/>
      <c r="E23" s="98"/>
      <c r="F23" s="98"/>
      <c r="G23" s="98"/>
      <c r="H23" s="98"/>
      <c r="I23" s="98"/>
      <c r="J23" s="98"/>
      <c r="K23" s="98"/>
      <c r="L23" s="98"/>
      <c r="M23" s="98"/>
      <c r="N23" s="98"/>
      <c r="O23" s="98"/>
      <c r="P23" s="99"/>
      <c r="Q23" s="7"/>
    </row>
    <row r="24" spans="1:17" ht="30" customHeight="1" x14ac:dyDescent="0.25">
      <c r="A24" s="89"/>
      <c r="B24" s="90"/>
      <c r="C24" s="91"/>
      <c r="D24" s="91"/>
      <c r="E24" s="91"/>
      <c r="F24" s="91"/>
      <c r="G24" s="91"/>
      <c r="H24" s="91"/>
      <c r="I24" s="91"/>
      <c r="J24" s="91"/>
      <c r="K24" s="91"/>
      <c r="L24" s="91"/>
      <c r="M24" s="91"/>
      <c r="N24" s="91"/>
      <c r="O24" s="91"/>
      <c r="P24" s="92"/>
      <c r="Q24" s="7"/>
    </row>
    <row r="25" spans="1:17" ht="30" customHeight="1" x14ac:dyDescent="0.25">
      <c r="A25" s="89"/>
      <c r="B25" s="90"/>
      <c r="C25" s="91"/>
      <c r="D25" s="91"/>
      <c r="E25" s="91"/>
      <c r="F25" s="91"/>
      <c r="G25" s="91"/>
      <c r="H25" s="91"/>
      <c r="I25" s="91"/>
      <c r="J25" s="91"/>
      <c r="K25" s="91"/>
      <c r="L25" s="91"/>
      <c r="M25" s="91"/>
      <c r="N25" s="91"/>
      <c r="O25" s="91"/>
      <c r="P25" s="92"/>
    </row>
    <row r="26" spans="1:17" ht="30" customHeight="1" thickBot="1" x14ac:dyDescent="0.3">
      <c r="A26" s="93"/>
      <c r="B26" s="94"/>
      <c r="C26" s="95"/>
      <c r="D26" s="95"/>
      <c r="E26" s="95"/>
      <c r="F26" s="95"/>
      <c r="G26" s="95"/>
      <c r="H26" s="95"/>
      <c r="I26" s="95"/>
      <c r="J26" s="95"/>
      <c r="K26" s="95"/>
      <c r="L26" s="95"/>
      <c r="M26" s="95"/>
      <c r="N26" s="95"/>
      <c r="O26" s="95"/>
      <c r="P26" s="96"/>
    </row>
  </sheetData>
  <mergeCells count="86">
    <mergeCell ref="A1:P1"/>
    <mergeCell ref="A2:P2"/>
    <mergeCell ref="B3:H3"/>
    <mergeCell ref="I3:J3"/>
    <mergeCell ref="K3:L3"/>
    <mergeCell ref="M3:P3"/>
    <mergeCell ref="N7:P7"/>
    <mergeCell ref="B4:H4"/>
    <mergeCell ref="I4:J4"/>
    <mergeCell ref="K4:L4"/>
    <mergeCell ref="O4:P4"/>
    <mergeCell ref="G5:H5"/>
    <mergeCell ref="I5:J5"/>
    <mergeCell ref="K5:L5"/>
    <mergeCell ref="O5:P5"/>
    <mergeCell ref="A7:B7"/>
    <mergeCell ref="C7:F7"/>
    <mergeCell ref="G7:H7"/>
    <mergeCell ref="I7:K7"/>
    <mergeCell ref="L7:M7"/>
    <mergeCell ref="A8:P8"/>
    <mergeCell ref="A9:P9"/>
    <mergeCell ref="A10:B10"/>
    <mergeCell ref="C10:D10"/>
    <mergeCell ref="E10:F10"/>
    <mergeCell ref="G10:H10"/>
    <mergeCell ref="I10:J10"/>
    <mergeCell ref="K10:P10"/>
    <mergeCell ref="K12:P12"/>
    <mergeCell ref="A11:B11"/>
    <mergeCell ref="C11:D11"/>
    <mergeCell ref="E11:F11"/>
    <mergeCell ref="G11:H11"/>
    <mergeCell ref="I11:J11"/>
    <mergeCell ref="K11:P11"/>
    <mergeCell ref="A12:B12"/>
    <mergeCell ref="C12:D12"/>
    <mergeCell ref="E12:F12"/>
    <mergeCell ref="G12:H12"/>
    <mergeCell ref="I12:J12"/>
    <mergeCell ref="K14:P14"/>
    <mergeCell ref="A13:B13"/>
    <mergeCell ref="C13:D13"/>
    <mergeCell ref="E13:F13"/>
    <mergeCell ref="G13:H13"/>
    <mergeCell ref="I13:J13"/>
    <mergeCell ref="K13:P13"/>
    <mergeCell ref="A14:B14"/>
    <mergeCell ref="C14:D14"/>
    <mergeCell ref="E14:F14"/>
    <mergeCell ref="G14:H14"/>
    <mergeCell ref="I14:J14"/>
    <mergeCell ref="K16:P16"/>
    <mergeCell ref="A15:B15"/>
    <mergeCell ref="C15:D15"/>
    <mergeCell ref="E15:F15"/>
    <mergeCell ref="G15:H15"/>
    <mergeCell ref="I15:J15"/>
    <mergeCell ref="K15:P15"/>
    <mergeCell ref="A16:B16"/>
    <mergeCell ref="C16:D16"/>
    <mergeCell ref="E16:F16"/>
    <mergeCell ref="G16:H16"/>
    <mergeCell ref="I16:J16"/>
    <mergeCell ref="A23:B23"/>
    <mergeCell ref="C23:P23"/>
    <mergeCell ref="A17:P17"/>
    <mergeCell ref="A18:C18"/>
    <mergeCell ref="D18:I18"/>
    <mergeCell ref="J18:K18"/>
    <mergeCell ref="L18:P18"/>
    <mergeCell ref="A19:C19"/>
    <mergeCell ref="D19:I19"/>
    <mergeCell ref="J19:K19"/>
    <mergeCell ref="L19:P19"/>
    <mergeCell ref="A20:P20"/>
    <mergeCell ref="A21:B21"/>
    <mergeCell ref="C21:P21"/>
    <mergeCell ref="A22:B22"/>
    <mergeCell ref="C22:P22"/>
    <mergeCell ref="A24:B24"/>
    <mergeCell ref="C24:P24"/>
    <mergeCell ref="A25:B25"/>
    <mergeCell ref="C25:P25"/>
    <mergeCell ref="A26:B26"/>
    <mergeCell ref="C26:P26"/>
  </mergeCells>
  <hyperlinks>
    <hyperlink ref="K11" r:id="rId1"/>
  </hyperlinks>
  <pageMargins left="0.25" right="0.25" top="0.75" bottom="0.75" header="0.3" footer="0.3"/>
  <pageSetup paperSize="9" orientation="landscape" horizontalDpi="0" verticalDpi="0"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
  <dimension ref="A1:Q26"/>
  <sheetViews>
    <sheetView tabSelected="1" zoomScale="115" zoomScaleNormal="115" workbookViewId="0">
      <selection activeCell="M5" sqref="M5:N5"/>
    </sheetView>
  </sheetViews>
  <sheetFormatPr baseColWidth="10" defaultColWidth="9.140625" defaultRowHeight="15" x14ac:dyDescent="0.25"/>
  <cols>
    <col min="1" max="16" width="8.7109375" style="1" customWidth="1"/>
    <col min="17" max="16384" width="9.140625" style="1"/>
  </cols>
  <sheetData>
    <row r="1" spans="1:16" ht="28.5" x14ac:dyDescent="0.25">
      <c r="A1" s="150" t="s">
        <v>0</v>
      </c>
      <c r="B1" s="150"/>
      <c r="C1" s="150"/>
      <c r="D1" s="150"/>
      <c r="E1" s="150"/>
      <c r="F1" s="150"/>
      <c r="G1" s="150"/>
      <c r="H1" s="150"/>
      <c r="I1" s="150"/>
      <c r="J1" s="150"/>
      <c r="K1" s="150"/>
      <c r="L1" s="150"/>
      <c r="M1" s="150"/>
      <c r="N1" s="150"/>
      <c r="O1" s="150"/>
      <c r="P1" s="150"/>
    </row>
    <row r="2" spans="1:16" ht="23.25" customHeight="1" thickBot="1" x14ac:dyDescent="0.3">
      <c r="A2" s="151"/>
      <c r="B2" s="151"/>
      <c r="C2" s="151"/>
      <c r="D2" s="151"/>
      <c r="E2" s="151"/>
      <c r="F2" s="151"/>
      <c r="G2" s="151"/>
      <c r="H2" s="151"/>
      <c r="I2" s="151"/>
      <c r="J2" s="151"/>
      <c r="K2" s="151"/>
      <c r="L2" s="151"/>
      <c r="M2" s="151"/>
      <c r="N2" s="151"/>
      <c r="O2" s="151"/>
      <c r="P2" s="151"/>
    </row>
    <row r="3" spans="1:16" x14ac:dyDescent="0.25">
      <c r="A3" s="2" t="s">
        <v>1</v>
      </c>
      <c r="B3" s="103" t="s">
        <v>0</v>
      </c>
      <c r="C3" s="103"/>
      <c r="D3" s="103"/>
      <c r="E3" s="103"/>
      <c r="F3" s="103"/>
      <c r="G3" s="103"/>
      <c r="H3" s="152"/>
      <c r="I3" s="101" t="s">
        <v>6</v>
      </c>
      <c r="J3" s="102"/>
      <c r="K3" s="153" t="s">
        <v>15</v>
      </c>
      <c r="L3" s="154"/>
      <c r="M3" s="101" t="s">
        <v>9</v>
      </c>
      <c r="N3" s="102"/>
      <c r="O3" s="102"/>
      <c r="P3" s="137"/>
    </row>
    <row r="4" spans="1:16" x14ac:dyDescent="0.25">
      <c r="A4" s="3" t="s">
        <v>2</v>
      </c>
      <c r="B4" s="119" t="s">
        <v>14</v>
      </c>
      <c r="C4" s="119"/>
      <c r="D4" s="119"/>
      <c r="E4" s="119"/>
      <c r="F4" s="119"/>
      <c r="G4" s="119"/>
      <c r="H4" s="141"/>
      <c r="I4" s="142" t="s">
        <v>7</v>
      </c>
      <c r="J4" s="143"/>
      <c r="K4" s="144"/>
      <c r="L4" s="145"/>
      <c r="M4" s="142" t="s">
        <v>10</v>
      </c>
      <c r="N4" s="143"/>
      <c r="O4" s="143" t="s">
        <v>11</v>
      </c>
      <c r="P4" s="146"/>
    </row>
    <row r="5" spans="1:16" ht="15.75" thickBot="1" x14ac:dyDescent="0.3">
      <c r="A5" s="4" t="s">
        <v>480</v>
      </c>
      <c r="B5" s="71" t="s">
        <v>516</v>
      </c>
      <c r="C5" s="5" t="s">
        <v>481</v>
      </c>
      <c r="D5" s="70" t="s">
        <v>517</v>
      </c>
      <c r="E5" s="74"/>
      <c r="F5" s="5" t="s">
        <v>12</v>
      </c>
      <c r="G5" s="147">
        <v>826301480</v>
      </c>
      <c r="H5" s="126"/>
      <c r="I5" s="107" t="s">
        <v>8</v>
      </c>
      <c r="J5" s="108"/>
      <c r="K5" s="148">
        <v>160</v>
      </c>
      <c r="L5" s="149"/>
      <c r="M5" s="157" t="s">
        <v>30</v>
      </c>
      <c r="N5" s="148"/>
      <c r="O5" s="148" t="s">
        <v>16</v>
      </c>
      <c r="P5" s="149"/>
    </row>
    <row r="6" spans="1:16" ht="15.75" thickBot="1" x14ac:dyDescent="0.3">
      <c r="A6" s="12"/>
      <c r="B6" s="12"/>
      <c r="C6" s="12"/>
      <c r="D6" s="12"/>
      <c r="E6" s="12"/>
      <c r="F6" s="12"/>
      <c r="G6" s="12"/>
      <c r="H6" s="12"/>
      <c r="I6" s="12"/>
      <c r="J6" s="12"/>
      <c r="K6" s="12"/>
      <c r="L6" s="12"/>
      <c r="M6" s="12"/>
      <c r="N6" s="12"/>
      <c r="O6" s="12"/>
      <c r="P6" s="12"/>
    </row>
    <row r="7" spans="1:16" ht="15.75" thickBot="1" x14ac:dyDescent="0.3">
      <c r="A7" s="138" t="s">
        <v>31</v>
      </c>
      <c r="B7" s="139"/>
      <c r="C7" s="131"/>
      <c r="D7" s="131"/>
      <c r="E7" s="131"/>
      <c r="F7" s="131"/>
      <c r="G7" s="139" t="s">
        <v>32</v>
      </c>
      <c r="H7" s="139"/>
      <c r="I7" s="140"/>
      <c r="J7" s="140"/>
      <c r="K7" s="140"/>
      <c r="L7" s="139" t="s">
        <v>33</v>
      </c>
      <c r="M7" s="139"/>
      <c r="N7" s="131"/>
      <c r="O7" s="131"/>
      <c r="P7" s="132"/>
    </row>
    <row r="8" spans="1:16" ht="15.75" thickBot="1" x14ac:dyDescent="0.3">
      <c r="A8" s="133"/>
      <c r="B8" s="133"/>
      <c r="C8" s="133"/>
      <c r="D8" s="133"/>
      <c r="E8" s="133"/>
      <c r="F8" s="133"/>
      <c r="G8" s="133"/>
      <c r="H8" s="133"/>
      <c r="I8" s="133"/>
      <c r="J8" s="133"/>
      <c r="K8" s="133"/>
      <c r="L8" s="133"/>
      <c r="M8" s="133"/>
      <c r="N8" s="133"/>
      <c r="O8" s="133"/>
      <c r="P8" s="133"/>
    </row>
    <row r="9" spans="1:16" ht="15.75" thickBot="1" x14ac:dyDescent="0.3">
      <c r="A9" s="111" t="s">
        <v>13</v>
      </c>
      <c r="B9" s="112"/>
      <c r="C9" s="112"/>
      <c r="D9" s="112"/>
      <c r="E9" s="112"/>
      <c r="F9" s="112"/>
      <c r="G9" s="112"/>
      <c r="H9" s="112"/>
      <c r="I9" s="112"/>
      <c r="J9" s="112"/>
      <c r="K9" s="112"/>
      <c r="L9" s="112"/>
      <c r="M9" s="112"/>
      <c r="N9" s="112"/>
      <c r="O9" s="112"/>
      <c r="P9" s="113"/>
    </row>
    <row r="10" spans="1:16" s="6" customFormat="1" x14ac:dyDescent="0.25">
      <c r="A10" s="134" t="s">
        <v>1</v>
      </c>
      <c r="B10" s="135"/>
      <c r="C10" s="135" t="s">
        <v>3</v>
      </c>
      <c r="D10" s="135"/>
      <c r="E10" s="135" t="s">
        <v>4</v>
      </c>
      <c r="F10" s="135"/>
      <c r="G10" s="104" t="s">
        <v>20</v>
      </c>
      <c r="H10" s="105"/>
      <c r="I10" s="104" t="s">
        <v>21</v>
      </c>
      <c r="J10" s="136"/>
      <c r="K10" s="102" t="s">
        <v>5</v>
      </c>
      <c r="L10" s="102"/>
      <c r="M10" s="102"/>
      <c r="N10" s="102"/>
      <c r="O10" s="102"/>
      <c r="P10" s="137"/>
    </row>
    <row r="11" spans="1:16" x14ac:dyDescent="0.25">
      <c r="A11" s="118" t="s">
        <v>17</v>
      </c>
      <c r="B11" s="119"/>
      <c r="C11" s="119" t="s">
        <v>18</v>
      </c>
      <c r="D11" s="119"/>
      <c r="E11" s="119" t="s">
        <v>19</v>
      </c>
      <c r="F11" s="119"/>
      <c r="G11" s="120">
        <v>177741596</v>
      </c>
      <c r="H11" s="121"/>
      <c r="I11" s="120">
        <v>620953929</v>
      </c>
      <c r="J11" s="122"/>
      <c r="K11" s="129" t="s">
        <v>22</v>
      </c>
      <c r="L11" s="129"/>
      <c r="M11" s="129"/>
      <c r="N11" s="129"/>
      <c r="O11" s="129"/>
      <c r="P11" s="130"/>
    </row>
    <row r="12" spans="1:16" x14ac:dyDescent="0.25">
      <c r="A12" s="118"/>
      <c r="B12" s="119"/>
      <c r="C12" s="119"/>
      <c r="D12" s="119"/>
      <c r="E12" s="119"/>
      <c r="F12" s="119"/>
      <c r="G12" s="120"/>
      <c r="H12" s="121"/>
      <c r="I12" s="120"/>
      <c r="J12" s="122"/>
      <c r="K12" s="123"/>
      <c r="L12" s="123"/>
      <c r="M12" s="123"/>
      <c r="N12" s="123"/>
      <c r="O12" s="123"/>
      <c r="P12" s="124"/>
    </row>
    <row r="13" spans="1:16" x14ac:dyDescent="0.25">
      <c r="A13" s="118"/>
      <c r="B13" s="119"/>
      <c r="C13" s="119"/>
      <c r="D13" s="119"/>
      <c r="E13" s="119"/>
      <c r="F13" s="119"/>
      <c r="G13" s="120"/>
      <c r="H13" s="121"/>
      <c r="I13" s="120"/>
      <c r="J13" s="122"/>
      <c r="K13" s="123"/>
      <c r="L13" s="123"/>
      <c r="M13" s="123"/>
      <c r="N13" s="123"/>
      <c r="O13" s="123"/>
      <c r="P13" s="124"/>
    </row>
    <row r="14" spans="1:16" x14ac:dyDescent="0.25">
      <c r="A14" s="118"/>
      <c r="B14" s="119"/>
      <c r="C14" s="119"/>
      <c r="D14" s="119"/>
      <c r="E14" s="119"/>
      <c r="F14" s="119"/>
      <c r="G14" s="120"/>
      <c r="H14" s="121"/>
      <c r="I14" s="120"/>
      <c r="J14" s="122"/>
      <c r="K14" s="123"/>
      <c r="L14" s="123"/>
      <c r="M14" s="123"/>
      <c r="N14" s="123"/>
      <c r="O14" s="123"/>
      <c r="P14" s="124"/>
    </row>
    <row r="15" spans="1:16" x14ac:dyDescent="0.25">
      <c r="A15" s="118"/>
      <c r="B15" s="119"/>
      <c r="C15" s="119"/>
      <c r="D15" s="119"/>
      <c r="E15" s="119"/>
      <c r="F15" s="119"/>
      <c r="G15" s="120"/>
      <c r="H15" s="121"/>
      <c r="I15" s="120"/>
      <c r="J15" s="122"/>
      <c r="K15" s="123"/>
      <c r="L15" s="123"/>
      <c r="M15" s="123"/>
      <c r="N15" s="123"/>
      <c r="O15" s="123"/>
      <c r="P15" s="124"/>
    </row>
    <row r="16" spans="1:16" ht="15.75" thickBot="1" x14ac:dyDescent="0.3">
      <c r="A16" s="125"/>
      <c r="B16" s="109"/>
      <c r="C16" s="109"/>
      <c r="D16" s="109"/>
      <c r="E16" s="109"/>
      <c r="F16" s="109"/>
      <c r="G16" s="126"/>
      <c r="H16" s="127"/>
      <c r="I16" s="126"/>
      <c r="J16" s="128"/>
      <c r="K16" s="116"/>
      <c r="L16" s="116"/>
      <c r="M16" s="116"/>
      <c r="N16" s="116"/>
      <c r="O16" s="116"/>
      <c r="P16" s="117"/>
    </row>
    <row r="17" spans="1:17" ht="15.75" thickBot="1" x14ac:dyDescent="0.3">
      <c r="A17" s="100"/>
      <c r="B17" s="100"/>
      <c r="C17" s="100"/>
      <c r="D17" s="100"/>
      <c r="E17" s="100"/>
      <c r="F17" s="100"/>
      <c r="G17" s="100"/>
      <c r="H17" s="100"/>
      <c r="I17" s="100"/>
      <c r="J17" s="100"/>
      <c r="K17" s="100"/>
      <c r="L17" s="100"/>
      <c r="M17" s="100"/>
      <c r="N17" s="100"/>
      <c r="O17" s="100"/>
      <c r="P17" s="100"/>
    </row>
    <row r="18" spans="1:17" x14ac:dyDescent="0.25">
      <c r="A18" s="101" t="s">
        <v>23</v>
      </c>
      <c r="B18" s="102"/>
      <c r="C18" s="102"/>
      <c r="D18" s="103"/>
      <c r="E18" s="103"/>
      <c r="F18" s="103"/>
      <c r="G18" s="103"/>
      <c r="H18" s="103"/>
      <c r="I18" s="103"/>
      <c r="J18" s="104" t="s">
        <v>25</v>
      </c>
      <c r="K18" s="105"/>
      <c r="L18" s="103"/>
      <c r="M18" s="103"/>
      <c r="N18" s="103"/>
      <c r="O18" s="103"/>
      <c r="P18" s="106"/>
    </row>
    <row r="19" spans="1:17" ht="15.75" thickBot="1" x14ac:dyDescent="0.3">
      <c r="A19" s="107" t="s">
        <v>24</v>
      </c>
      <c r="B19" s="108"/>
      <c r="C19" s="108"/>
      <c r="D19" s="109"/>
      <c r="E19" s="109"/>
      <c r="F19" s="109"/>
      <c r="G19" s="109"/>
      <c r="H19" s="109"/>
      <c r="I19" s="109"/>
      <c r="J19" s="108" t="s">
        <v>26</v>
      </c>
      <c r="K19" s="108"/>
      <c r="L19" s="109"/>
      <c r="M19" s="109"/>
      <c r="N19" s="109"/>
      <c r="O19" s="109"/>
      <c r="P19" s="110"/>
    </row>
    <row r="20" spans="1:17" ht="15.75" thickBot="1" x14ac:dyDescent="0.3">
      <c r="A20" s="100"/>
      <c r="B20" s="100"/>
      <c r="C20" s="100"/>
      <c r="D20" s="100"/>
      <c r="E20" s="100"/>
      <c r="F20" s="100"/>
      <c r="G20" s="100"/>
      <c r="H20" s="100"/>
      <c r="I20" s="100"/>
      <c r="J20" s="100"/>
      <c r="K20" s="100"/>
      <c r="L20" s="100"/>
      <c r="M20" s="100"/>
      <c r="N20" s="100"/>
      <c r="O20" s="100"/>
      <c r="P20" s="100"/>
    </row>
    <row r="21" spans="1:17" ht="15.75" thickBot="1" x14ac:dyDescent="0.3">
      <c r="A21" s="111" t="s">
        <v>27</v>
      </c>
      <c r="B21" s="112"/>
      <c r="C21" s="112" t="s">
        <v>28</v>
      </c>
      <c r="D21" s="112"/>
      <c r="E21" s="112"/>
      <c r="F21" s="112"/>
      <c r="G21" s="112"/>
      <c r="H21" s="112"/>
      <c r="I21" s="112"/>
      <c r="J21" s="112"/>
      <c r="K21" s="112"/>
      <c r="L21" s="112"/>
      <c r="M21" s="112"/>
      <c r="N21" s="112"/>
      <c r="O21" s="112"/>
      <c r="P21" s="113"/>
      <c r="Q21" s="7"/>
    </row>
    <row r="22" spans="1:17" ht="30" customHeight="1" x14ac:dyDescent="0.25">
      <c r="A22" s="114">
        <v>42107</v>
      </c>
      <c r="B22" s="115"/>
      <c r="C22" s="155" t="s">
        <v>29</v>
      </c>
      <c r="D22" s="155"/>
      <c r="E22" s="155"/>
      <c r="F22" s="155"/>
      <c r="G22" s="155"/>
      <c r="H22" s="155"/>
      <c r="I22" s="155"/>
      <c r="J22" s="155"/>
      <c r="K22" s="155"/>
      <c r="L22" s="155"/>
      <c r="M22" s="155"/>
      <c r="N22" s="155"/>
      <c r="O22" s="155"/>
      <c r="P22" s="156"/>
      <c r="Q22" s="7"/>
    </row>
    <row r="23" spans="1:17" ht="30" customHeight="1" x14ac:dyDescent="0.25">
      <c r="A23" s="89"/>
      <c r="B23" s="90"/>
      <c r="C23" s="91"/>
      <c r="D23" s="91"/>
      <c r="E23" s="91"/>
      <c r="F23" s="91"/>
      <c r="G23" s="91"/>
      <c r="H23" s="91"/>
      <c r="I23" s="91"/>
      <c r="J23" s="91"/>
      <c r="K23" s="91"/>
      <c r="L23" s="91"/>
      <c r="M23" s="91"/>
      <c r="N23" s="91"/>
      <c r="O23" s="91"/>
      <c r="P23" s="92"/>
      <c r="Q23" s="7"/>
    </row>
    <row r="24" spans="1:17" ht="30" customHeight="1" x14ac:dyDescent="0.25">
      <c r="A24" s="89"/>
      <c r="B24" s="90"/>
      <c r="C24" s="91"/>
      <c r="D24" s="91"/>
      <c r="E24" s="91"/>
      <c r="F24" s="91"/>
      <c r="G24" s="91"/>
      <c r="H24" s="91"/>
      <c r="I24" s="91"/>
      <c r="J24" s="91"/>
      <c r="K24" s="91"/>
      <c r="L24" s="91"/>
      <c r="M24" s="91"/>
      <c r="N24" s="91"/>
      <c r="O24" s="91"/>
      <c r="P24" s="92"/>
      <c r="Q24" s="7"/>
    </row>
    <row r="25" spans="1:17" ht="30" customHeight="1" x14ac:dyDescent="0.25">
      <c r="A25" s="89"/>
      <c r="B25" s="90"/>
      <c r="C25" s="91"/>
      <c r="D25" s="91"/>
      <c r="E25" s="91"/>
      <c r="F25" s="91"/>
      <c r="G25" s="91"/>
      <c r="H25" s="91"/>
      <c r="I25" s="91"/>
      <c r="J25" s="91"/>
      <c r="K25" s="91"/>
      <c r="L25" s="91"/>
      <c r="M25" s="91"/>
      <c r="N25" s="91"/>
      <c r="O25" s="91"/>
      <c r="P25" s="92"/>
    </row>
    <row r="26" spans="1:17" ht="30" customHeight="1" thickBot="1" x14ac:dyDescent="0.3">
      <c r="A26" s="93"/>
      <c r="B26" s="94"/>
      <c r="C26" s="95"/>
      <c r="D26" s="95"/>
      <c r="E26" s="95"/>
      <c r="F26" s="95"/>
      <c r="G26" s="95"/>
      <c r="H26" s="95"/>
      <c r="I26" s="95"/>
      <c r="J26" s="95"/>
      <c r="K26" s="95"/>
      <c r="L26" s="95"/>
      <c r="M26" s="95"/>
      <c r="N26" s="95"/>
      <c r="O26" s="95"/>
      <c r="P26" s="96"/>
    </row>
  </sheetData>
  <mergeCells count="88">
    <mergeCell ref="G13:H13"/>
    <mergeCell ref="G14:H14"/>
    <mergeCell ref="G15:H15"/>
    <mergeCell ref="A7:B7"/>
    <mergeCell ref="C7:F7"/>
    <mergeCell ref="A9:P9"/>
    <mergeCell ref="L7:M7"/>
    <mergeCell ref="N7:P7"/>
    <mergeCell ref="I11:J11"/>
    <mergeCell ref="E11:F11"/>
    <mergeCell ref="K10:P10"/>
    <mergeCell ref="K11:P11"/>
    <mergeCell ref="K13:P13"/>
    <mergeCell ref="K14:P14"/>
    <mergeCell ref="K15:P15"/>
    <mergeCell ref="I14:J14"/>
    <mergeCell ref="I15:J15"/>
    <mergeCell ref="A24:B24"/>
    <mergeCell ref="C24:P24"/>
    <mergeCell ref="E14:F14"/>
    <mergeCell ref="C16:D16"/>
    <mergeCell ref="E16:F16"/>
    <mergeCell ref="A20:P20"/>
    <mergeCell ref="G16:H16"/>
    <mergeCell ref="A17:P17"/>
    <mergeCell ref="I16:J16"/>
    <mergeCell ref="K16:P16"/>
    <mergeCell ref="I12:J12"/>
    <mergeCell ref="I5:J5"/>
    <mergeCell ref="M5:N5"/>
    <mergeCell ref="O5:P5"/>
    <mergeCell ref="A8:P8"/>
    <mergeCell ref="G10:H10"/>
    <mergeCell ref="A10:B10"/>
    <mergeCell ref="C10:D10"/>
    <mergeCell ref="G11:H11"/>
    <mergeCell ref="E10:F10"/>
    <mergeCell ref="A11:B11"/>
    <mergeCell ref="C11:D11"/>
    <mergeCell ref="I10:J10"/>
    <mergeCell ref="G7:H7"/>
    <mergeCell ref="I7:K7"/>
    <mergeCell ref="K12:P12"/>
    <mergeCell ref="K3:L3"/>
    <mergeCell ref="K4:L4"/>
    <mergeCell ref="K5:L5"/>
    <mergeCell ref="A1:P1"/>
    <mergeCell ref="B3:H3"/>
    <mergeCell ref="B4:H4"/>
    <mergeCell ref="I3:J3"/>
    <mergeCell ref="I4:J4"/>
    <mergeCell ref="A2:P2"/>
    <mergeCell ref="M3:P3"/>
    <mergeCell ref="M4:N4"/>
    <mergeCell ref="O4:P4"/>
    <mergeCell ref="G5:H5"/>
    <mergeCell ref="A26:B26"/>
    <mergeCell ref="C26:P26"/>
    <mergeCell ref="A18:C18"/>
    <mergeCell ref="J18:K18"/>
    <mergeCell ref="L18:P18"/>
    <mergeCell ref="D18:I18"/>
    <mergeCell ref="A19:C19"/>
    <mergeCell ref="J19:K19"/>
    <mergeCell ref="L19:P19"/>
    <mergeCell ref="D19:I19"/>
    <mergeCell ref="A21:B21"/>
    <mergeCell ref="C21:P21"/>
    <mergeCell ref="A22:B22"/>
    <mergeCell ref="C22:P22"/>
    <mergeCell ref="A23:B23"/>
    <mergeCell ref="C23:P23"/>
    <mergeCell ref="A25:B25"/>
    <mergeCell ref="C25:P25"/>
    <mergeCell ref="A12:B12"/>
    <mergeCell ref="C12:D12"/>
    <mergeCell ref="E12:F12"/>
    <mergeCell ref="A15:B15"/>
    <mergeCell ref="C15:D15"/>
    <mergeCell ref="E15:F15"/>
    <mergeCell ref="A13:B13"/>
    <mergeCell ref="I13:J13"/>
    <mergeCell ref="C13:D13"/>
    <mergeCell ref="E13:F13"/>
    <mergeCell ref="A14:B14"/>
    <mergeCell ref="C14:D14"/>
    <mergeCell ref="A16:B16"/>
    <mergeCell ref="G12:H12"/>
  </mergeCells>
  <hyperlinks>
    <hyperlink ref="K11" r:id="rId1"/>
  </hyperlinks>
  <pageMargins left="0.25" right="0.25" top="0.75" bottom="0.75" header="0.3" footer="0.3"/>
  <pageSetup paperSize="9" orientation="landscape" horizontalDpi="0" verticalDpi="0"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
  <dimension ref="A1:Q26"/>
  <sheetViews>
    <sheetView tabSelected="1" zoomScale="115" zoomScaleNormal="115" workbookViewId="0">
      <selection activeCell="M5" sqref="M5:N5"/>
    </sheetView>
  </sheetViews>
  <sheetFormatPr baseColWidth="10" defaultColWidth="9.140625" defaultRowHeight="15" x14ac:dyDescent="0.25"/>
  <cols>
    <col min="1" max="16" width="8.7109375" style="1" customWidth="1"/>
    <col min="17" max="16384" width="9.140625" style="1"/>
  </cols>
  <sheetData>
    <row r="1" spans="1:16" ht="28.5" x14ac:dyDescent="0.25">
      <c r="A1" s="150" t="s">
        <v>198</v>
      </c>
      <c r="B1" s="150"/>
      <c r="C1" s="150"/>
      <c r="D1" s="150"/>
      <c r="E1" s="150"/>
      <c r="F1" s="150"/>
      <c r="G1" s="150"/>
      <c r="H1" s="150"/>
      <c r="I1" s="150"/>
      <c r="J1" s="150"/>
      <c r="K1" s="150"/>
      <c r="L1" s="150"/>
      <c r="M1" s="150"/>
      <c r="N1" s="150"/>
      <c r="O1" s="150"/>
      <c r="P1" s="150"/>
    </row>
    <row r="2" spans="1:16" ht="23.25" customHeight="1" thickBot="1" x14ac:dyDescent="0.3">
      <c r="A2" s="151"/>
      <c r="B2" s="151"/>
      <c r="C2" s="151"/>
      <c r="D2" s="151"/>
      <c r="E2" s="151"/>
      <c r="F2" s="151"/>
      <c r="G2" s="151"/>
      <c r="H2" s="151"/>
      <c r="I2" s="151"/>
      <c r="J2" s="151"/>
      <c r="K2" s="151"/>
      <c r="L2" s="151"/>
      <c r="M2" s="151"/>
      <c r="N2" s="151"/>
      <c r="O2" s="151"/>
      <c r="P2" s="151"/>
    </row>
    <row r="3" spans="1:16" x14ac:dyDescent="0.25">
      <c r="A3" s="2" t="s">
        <v>1</v>
      </c>
      <c r="B3" s="103" t="s">
        <v>198</v>
      </c>
      <c r="C3" s="103"/>
      <c r="D3" s="103"/>
      <c r="E3" s="103"/>
      <c r="F3" s="103"/>
      <c r="G3" s="103"/>
      <c r="H3" s="152"/>
      <c r="I3" s="101" t="s">
        <v>6</v>
      </c>
      <c r="J3" s="102"/>
      <c r="K3" s="153">
        <v>3</v>
      </c>
      <c r="L3" s="154"/>
      <c r="M3" s="101" t="s">
        <v>9</v>
      </c>
      <c r="N3" s="102"/>
      <c r="O3" s="102"/>
      <c r="P3" s="137"/>
    </row>
    <row r="4" spans="1:16" x14ac:dyDescent="0.25">
      <c r="A4" s="3" t="s">
        <v>2</v>
      </c>
      <c r="B4" s="119" t="s">
        <v>199</v>
      </c>
      <c r="C4" s="119"/>
      <c r="D4" s="119"/>
      <c r="E4" s="119"/>
      <c r="F4" s="119"/>
      <c r="G4" s="119"/>
      <c r="H4" s="141"/>
      <c r="I4" s="142" t="s">
        <v>7</v>
      </c>
      <c r="J4" s="143"/>
      <c r="K4" s="144">
        <v>33</v>
      </c>
      <c r="L4" s="145"/>
      <c r="M4" s="21" t="s">
        <v>10</v>
      </c>
      <c r="N4" s="22" t="s">
        <v>76</v>
      </c>
      <c r="O4" s="143" t="s">
        <v>11</v>
      </c>
      <c r="P4" s="146"/>
    </row>
    <row r="5" spans="1:16" ht="15.75" thickBot="1" x14ac:dyDescent="0.3">
      <c r="A5" s="4" t="s">
        <v>480</v>
      </c>
      <c r="B5" s="71" t="s">
        <v>518</v>
      </c>
      <c r="C5" s="5" t="s">
        <v>481</v>
      </c>
      <c r="D5" s="70" t="s">
        <v>519</v>
      </c>
      <c r="E5" s="74"/>
      <c r="F5" s="5" t="s">
        <v>12</v>
      </c>
      <c r="G5" s="147">
        <v>321463333</v>
      </c>
      <c r="H5" s="126"/>
      <c r="I5" s="107" t="s">
        <v>8</v>
      </c>
      <c r="J5" s="108"/>
      <c r="K5" s="148">
        <v>450</v>
      </c>
      <c r="L5" s="149"/>
      <c r="M5" s="24"/>
      <c r="N5" s="23"/>
      <c r="O5" s="148">
        <v>432</v>
      </c>
      <c r="P5" s="149"/>
    </row>
    <row r="6" spans="1:16" ht="15.75" thickBot="1" x14ac:dyDescent="0.3">
      <c r="A6" s="12"/>
      <c r="B6" s="12"/>
      <c r="C6" s="12"/>
      <c r="D6" s="12"/>
      <c r="E6" s="12"/>
      <c r="F6" s="12"/>
      <c r="G6" s="12"/>
      <c r="H6" s="12"/>
      <c r="I6" s="12"/>
      <c r="J6" s="12"/>
      <c r="K6" s="12"/>
      <c r="L6" s="12"/>
      <c r="M6" s="12"/>
      <c r="N6" s="12"/>
      <c r="O6" s="12"/>
      <c r="P6" s="12"/>
    </row>
    <row r="7" spans="1:16" ht="15.75" thickBot="1" x14ac:dyDescent="0.3">
      <c r="A7" s="138" t="s">
        <v>31</v>
      </c>
      <c r="B7" s="139"/>
      <c r="C7" s="131"/>
      <c r="D7" s="131"/>
      <c r="E7" s="131"/>
      <c r="F7" s="131"/>
      <c r="G7" s="139" t="s">
        <v>32</v>
      </c>
      <c r="H7" s="139"/>
      <c r="I7" s="140"/>
      <c r="J7" s="140"/>
      <c r="K7" s="140"/>
      <c r="L7" s="139" t="s">
        <v>33</v>
      </c>
      <c r="M7" s="139"/>
      <c r="N7" s="131"/>
      <c r="O7" s="131"/>
      <c r="P7" s="132"/>
    </row>
    <row r="8" spans="1:16" ht="15.75" thickBot="1" x14ac:dyDescent="0.3">
      <c r="A8" s="133"/>
      <c r="B8" s="133"/>
      <c r="C8" s="133"/>
      <c r="D8" s="133"/>
      <c r="E8" s="133"/>
      <c r="F8" s="133"/>
      <c r="G8" s="133"/>
      <c r="H8" s="133"/>
      <c r="I8" s="133"/>
      <c r="J8" s="133"/>
      <c r="K8" s="133"/>
      <c r="L8" s="133"/>
      <c r="M8" s="133"/>
      <c r="N8" s="133"/>
      <c r="O8" s="133"/>
      <c r="P8" s="133"/>
    </row>
    <row r="9" spans="1:16" ht="15.75" thickBot="1" x14ac:dyDescent="0.3">
      <c r="A9" s="111" t="s">
        <v>13</v>
      </c>
      <c r="B9" s="112"/>
      <c r="C9" s="112"/>
      <c r="D9" s="112"/>
      <c r="E9" s="112"/>
      <c r="F9" s="112"/>
      <c r="G9" s="112"/>
      <c r="H9" s="112"/>
      <c r="I9" s="112"/>
      <c r="J9" s="112"/>
      <c r="K9" s="112"/>
      <c r="L9" s="112"/>
      <c r="M9" s="112"/>
      <c r="N9" s="112"/>
      <c r="O9" s="112"/>
      <c r="P9" s="113"/>
    </row>
    <row r="10" spans="1:16" s="6" customFormat="1" x14ac:dyDescent="0.25">
      <c r="A10" s="134" t="s">
        <v>1</v>
      </c>
      <c r="B10" s="135"/>
      <c r="C10" s="135" t="s">
        <v>3</v>
      </c>
      <c r="D10" s="135"/>
      <c r="E10" s="135" t="s">
        <v>4</v>
      </c>
      <c r="F10" s="135"/>
      <c r="G10" s="104" t="s">
        <v>20</v>
      </c>
      <c r="H10" s="105"/>
      <c r="I10" s="104" t="s">
        <v>21</v>
      </c>
      <c r="J10" s="136"/>
      <c r="K10" s="102" t="s">
        <v>5</v>
      </c>
      <c r="L10" s="102"/>
      <c r="M10" s="102"/>
      <c r="N10" s="102"/>
      <c r="O10" s="102"/>
      <c r="P10" s="137"/>
    </row>
    <row r="11" spans="1:16" x14ac:dyDescent="0.25">
      <c r="A11" s="118" t="s">
        <v>200</v>
      </c>
      <c r="B11" s="119"/>
      <c r="C11" s="119" t="s">
        <v>123</v>
      </c>
      <c r="D11" s="119"/>
      <c r="E11" s="119" t="s">
        <v>201</v>
      </c>
      <c r="F11" s="119"/>
      <c r="G11" s="120">
        <v>321463454</v>
      </c>
      <c r="H11" s="121"/>
      <c r="I11" s="120"/>
      <c r="J11" s="122"/>
      <c r="K11" s="129" t="s">
        <v>202</v>
      </c>
      <c r="L11" s="129"/>
      <c r="M11" s="129"/>
      <c r="N11" s="129"/>
      <c r="O11" s="129"/>
      <c r="P11" s="130"/>
    </row>
    <row r="12" spans="1:16" x14ac:dyDescent="0.25">
      <c r="A12" s="118"/>
      <c r="B12" s="119"/>
      <c r="C12" s="119"/>
      <c r="D12" s="119"/>
      <c r="E12" s="119"/>
      <c r="F12" s="119"/>
      <c r="G12" s="120"/>
      <c r="H12" s="121"/>
      <c r="I12" s="120"/>
      <c r="J12" s="122"/>
      <c r="K12" s="123"/>
      <c r="L12" s="123"/>
      <c r="M12" s="123"/>
      <c r="N12" s="123"/>
      <c r="O12" s="123"/>
      <c r="P12" s="124"/>
    </row>
    <row r="13" spans="1:16" x14ac:dyDescent="0.25">
      <c r="A13" s="118"/>
      <c r="B13" s="119"/>
      <c r="C13" s="119"/>
      <c r="D13" s="119"/>
      <c r="E13" s="119"/>
      <c r="F13" s="119"/>
      <c r="G13" s="120"/>
      <c r="H13" s="121"/>
      <c r="I13" s="120"/>
      <c r="J13" s="122"/>
      <c r="K13" s="123"/>
      <c r="L13" s="123"/>
      <c r="M13" s="123"/>
      <c r="N13" s="123"/>
      <c r="O13" s="123"/>
      <c r="P13" s="124"/>
    </row>
    <row r="14" spans="1:16" x14ac:dyDescent="0.25">
      <c r="A14" s="118"/>
      <c r="B14" s="119"/>
      <c r="C14" s="119"/>
      <c r="D14" s="119"/>
      <c r="E14" s="119"/>
      <c r="F14" s="119"/>
      <c r="G14" s="120"/>
      <c r="H14" s="121"/>
      <c r="I14" s="120"/>
      <c r="J14" s="122"/>
      <c r="K14" s="123"/>
      <c r="L14" s="123"/>
      <c r="M14" s="123"/>
      <c r="N14" s="123"/>
      <c r="O14" s="123"/>
      <c r="P14" s="124"/>
    </row>
    <row r="15" spans="1:16" x14ac:dyDescent="0.25">
      <c r="A15" s="118"/>
      <c r="B15" s="119"/>
      <c r="C15" s="119"/>
      <c r="D15" s="119"/>
      <c r="E15" s="119"/>
      <c r="F15" s="119"/>
      <c r="G15" s="120"/>
      <c r="H15" s="121"/>
      <c r="I15" s="120"/>
      <c r="J15" s="122"/>
      <c r="K15" s="123"/>
      <c r="L15" s="123"/>
      <c r="M15" s="123"/>
      <c r="N15" s="123"/>
      <c r="O15" s="123"/>
      <c r="P15" s="124"/>
    </row>
    <row r="16" spans="1:16" ht="15.75" thickBot="1" x14ac:dyDescent="0.3">
      <c r="A16" s="125"/>
      <c r="B16" s="109"/>
      <c r="C16" s="109"/>
      <c r="D16" s="109"/>
      <c r="E16" s="109"/>
      <c r="F16" s="109"/>
      <c r="G16" s="126"/>
      <c r="H16" s="127"/>
      <c r="I16" s="126"/>
      <c r="J16" s="128"/>
      <c r="K16" s="116"/>
      <c r="L16" s="116"/>
      <c r="M16" s="116"/>
      <c r="N16" s="116"/>
      <c r="O16" s="116"/>
      <c r="P16" s="117"/>
    </row>
    <row r="17" spans="1:17" ht="15.75" thickBot="1" x14ac:dyDescent="0.3">
      <c r="A17" s="100"/>
      <c r="B17" s="100"/>
      <c r="C17" s="100"/>
      <c r="D17" s="100"/>
      <c r="E17" s="100"/>
      <c r="F17" s="100"/>
      <c r="G17" s="100"/>
      <c r="H17" s="100"/>
      <c r="I17" s="100"/>
      <c r="J17" s="100"/>
      <c r="K17" s="100"/>
      <c r="L17" s="100"/>
      <c r="M17" s="100"/>
      <c r="N17" s="100"/>
      <c r="O17" s="100"/>
      <c r="P17" s="100"/>
    </row>
    <row r="18" spans="1:17" x14ac:dyDescent="0.25">
      <c r="A18" s="101" t="s">
        <v>23</v>
      </c>
      <c r="B18" s="102"/>
      <c r="C18" s="102"/>
      <c r="D18" s="103"/>
      <c r="E18" s="103"/>
      <c r="F18" s="103"/>
      <c r="G18" s="103"/>
      <c r="H18" s="103"/>
      <c r="I18" s="103"/>
      <c r="J18" s="104" t="s">
        <v>25</v>
      </c>
      <c r="K18" s="105"/>
      <c r="L18" s="103"/>
      <c r="M18" s="103"/>
      <c r="N18" s="103"/>
      <c r="O18" s="103"/>
      <c r="P18" s="106"/>
    </row>
    <row r="19" spans="1:17" ht="15.75" thickBot="1" x14ac:dyDescent="0.3">
      <c r="A19" s="107" t="s">
        <v>24</v>
      </c>
      <c r="B19" s="108"/>
      <c r="C19" s="108"/>
      <c r="D19" s="109"/>
      <c r="E19" s="109"/>
      <c r="F19" s="109"/>
      <c r="G19" s="109"/>
      <c r="H19" s="109"/>
      <c r="I19" s="109"/>
      <c r="J19" s="108" t="s">
        <v>26</v>
      </c>
      <c r="K19" s="108"/>
      <c r="L19" s="109"/>
      <c r="M19" s="109"/>
      <c r="N19" s="109"/>
      <c r="O19" s="109"/>
      <c r="P19" s="110"/>
    </row>
    <row r="20" spans="1:17" ht="15.75" thickBot="1" x14ac:dyDescent="0.3">
      <c r="A20" s="100"/>
      <c r="B20" s="100"/>
      <c r="C20" s="100"/>
      <c r="D20" s="100"/>
      <c r="E20" s="100"/>
      <c r="F20" s="100"/>
      <c r="G20" s="100"/>
      <c r="H20" s="100"/>
      <c r="I20" s="100"/>
      <c r="J20" s="100"/>
      <c r="K20" s="100"/>
      <c r="L20" s="100"/>
      <c r="M20" s="100"/>
      <c r="N20" s="100"/>
      <c r="O20" s="100"/>
      <c r="P20" s="100"/>
    </row>
    <row r="21" spans="1:17" ht="15.75" thickBot="1" x14ac:dyDescent="0.3">
      <c r="A21" s="111" t="s">
        <v>27</v>
      </c>
      <c r="B21" s="112"/>
      <c r="C21" s="112" t="s">
        <v>28</v>
      </c>
      <c r="D21" s="112"/>
      <c r="E21" s="112"/>
      <c r="F21" s="112"/>
      <c r="G21" s="112"/>
      <c r="H21" s="112"/>
      <c r="I21" s="112"/>
      <c r="J21" s="112"/>
      <c r="K21" s="112"/>
      <c r="L21" s="112"/>
      <c r="M21" s="112"/>
      <c r="N21" s="112"/>
      <c r="O21" s="112"/>
      <c r="P21" s="113"/>
      <c r="Q21" s="7"/>
    </row>
    <row r="22" spans="1:17" ht="30" customHeight="1" x14ac:dyDescent="0.25">
      <c r="A22" s="114">
        <v>42117</v>
      </c>
      <c r="B22" s="115"/>
      <c r="C22" s="91" t="s">
        <v>203</v>
      </c>
      <c r="D22" s="91"/>
      <c r="E22" s="91"/>
      <c r="F22" s="91"/>
      <c r="G22" s="91"/>
      <c r="H22" s="91"/>
      <c r="I22" s="91"/>
      <c r="J22" s="91"/>
      <c r="K22" s="91"/>
      <c r="L22" s="91"/>
      <c r="M22" s="91"/>
      <c r="N22" s="91"/>
      <c r="O22" s="91"/>
      <c r="P22" s="92"/>
      <c r="Q22" s="7"/>
    </row>
    <row r="23" spans="1:17" ht="30" customHeight="1" x14ac:dyDescent="0.25">
      <c r="A23" s="89"/>
      <c r="B23" s="90"/>
      <c r="C23" s="97"/>
      <c r="D23" s="98"/>
      <c r="E23" s="98"/>
      <c r="F23" s="98"/>
      <c r="G23" s="98"/>
      <c r="H23" s="98"/>
      <c r="I23" s="98"/>
      <c r="J23" s="98"/>
      <c r="K23" s="98"/>
      <c r="L23" s="98"/>
      <c r="M23" s="98"/>
      <c r="N23" s="98"/>
      <c r="O23" s="98"/>
      <c r="P23" s="99"/>
      <c r="Q23" s="7"/>
    </row>
    <row r="24" spans="1:17" ht="30" customHeight="1" x14ac:dyDescent="0.25">
      <c r="A24" s="89"/>
      <c r="B24" s="90"/>
      <c r="C24" s="91"/>
      <c r="D24" s="91"/>
      <c r="E24" s="91"/>
      <c r="F24" s="91"/>
      <c r="G24" s="91"/>
      <c r="H24" s="91"/>
      <c r="I24" s="91"/>
      <c r="J24" s="91"/>
      <c r="K24" s="91"/>
      <c r="L24" s="91"/>
      <c r="M24" s="91"/>
      <c r="N24" s="91"/>
      <c r="O24" s="91"/>
      <c r="P24" s="92"/>
      <c r="Q24" s="7"/>
    </row>
    <row r="25" spans="1:17" ht="30" customHeight="1" x14ac:dyDescent="0.25">
      <c r="A25" s="89"/>
      <c r="B25" s="90"/>
      <c r="C25" s="91"/>
      <c r="D25" s="91"/>
      <c r="E25" s="91"/>
      <c r="F25" s="91"/>
      <c r="G25" s="91"/>
      <c r="H25" s="91"/>
      <c r="I25" s="91"/>
      <c r="J25" s="91"/>
      <c r="K25" s="91"/>
      <c r="L25" s="91"/>
      <c r="M25" s="91"/>
      <c r="N25" s="91"/>
      <c r="O25" s="91"/>
      <c r="P25" s="92"/>
    </row>
    <row r="26" spans="1:17" ht="30" customHeight="1" thickBot="1" x14ac:dyDescent="0.3">
      <c r="A26" s="93"/>
      <c r="B26" s="94"/>
      <c r="C26" s="95"/>
      <c r="D26" s="95"/>
      <c r="E26" s="95"/>
      <c r="F26" s="95"/>
      <c r="G26" s="95"/>
      <c r="H26" s="95"/>
      <c r="I26" s="95"/>
      <c r="J26" s="95"/>
      <c r="K26" s="95"/>
      <c r="L26" s="95"/>
      <c r="M26" s="95"/>
      <c r="N26" s="95"/>
      <c r="O26" s="95"/>
      <c r="P26" s="96"/>
    </row>
  </sheetData>
  <mergeCells count="86">
    <mergeCell ref="A24:B24"/>
    <mergeCell ref="C24:P24"/>
    <mergeCell ref="A25:B25"/>
    <mergeCell ref="C25:P25"/>
    <mergeCell ref="A26:B26"/>
    <mergeCell ref="C26:P26"/>
    <mergeCell ref="A23:B23"/>
    <mergeCell ref="C23:P23"/>
    <mergeCell ref="A17:P17"/>
    <mergeCell ref="A18:C18"/>
    <mergeCell ref="D18:I18"/>
    <mergeCell ref="J18:K18"/>
    <mergeCell ref="L18:P18"/>
    <mergeCell ref="A19:C19"/>
    <mergeCell ref="D19:I19"/>
    <mergeCell ref="J19:K19"/>
    <mergeCell ref="L19:P19"/>
    <mergeCell ref="A20:P20"/>
    <mergeCell ref="A21:B21"/>
    <mergeCell ref="C21:P21"/>
    <mergeCell ref="A22:B22"/>
    <mergeCell ref="C22:P22"/>
    <mergeCell ref="K16:P16"/>
    <mergeCell ref="A15:B15"/>
    <mergeCell ref="C15:D15"/>
    <mergeCell ref="E15:F15"/>
    <mergeCell ref="G15:H15"/>
    <mergeCell ref="I15:J15"/>
    <mergeCell ref="K15:P15"/>
    <mergeCell ref="A16:B16"/>
    <mergeCell ref="C16:D16"/>
    <mergeCell ref="E16:F16"/>
    <mergeCell ref="G16:H16"/>
    <mergeCell ref="I16:J16"/>
    <mergeCell ref="K14:P14"/>
    <mergeCell ref="A13:B13"/>
    <mergeCell ref="C13:D13"/>
    <mergeCell ref="E13:F13"/>
    <mergeCell ref="G13:H13"/>
    <mergeCell ref="I13:J13"/>
    <mergeCell ref="K13:P13"/>
    <mergeCell ref="A14:B14"/>
    <mergeCell ref="C14:D14"/>
    <mergeCell ref="E14:F14"/>
    <mergeCell ref="G14:H14"/>
    <mergeCell ref="I14:J14"/>
    <mergeCell ref="K12:P12"/>
    <mergeCell ref="A11:B11"/>
    <mergeCell ref="C11:D11"/>
    <mergeCell ref="E11:F11"/>
    <mergeCell ref="G11:H11"/>
    <mergeCell ref="I11:J11"/>
    <mergeCell ref="K11:P11"/>
    <mergeCell ref="A12:B12"/>
    <mergeCell ref="C12:D12"/>
    <mergeCell ref="E12:F12"/>
    <mergeCell ref="G12:H12"/>
    <mergeCell ref="I12:J12"/>
    <mergeCell ref="A8:P8"/>
    <mergeCell ref="A9:P9"/>
    <mergeCell ref="A10:B10"/>
    <mergeCell ref="C10:D10"/>
    <mergeCell ref="E10:F10"/>
    <mergeCell ref="G10:H10"/>
    <mergeCell ref="I10:J10"/>
    <mergeCell ref="K10:P10"/>
    <mergeCell ref="N7:P7"/>
    <mergeCell ref="B4:H4"/>
    <mergeCell ref="I4:J4"/>
    <mergeCell ref="K4:L4"/>
    <mergeCell ref="O4:P4"/>
    <mergeCell ref="G5:H5"/>
    <mergeCell ref="I5:J5"/>
    <mergeCell ref="K5:L5"/>
    <mergeCell ref="O5:P5"/>
    <mergeCell ref="A7:B7"/>
    <mergeCell ref="C7:F7"/>
    <mergeCell ref="G7:H7"/>
    <mergeCell ref="I7:K7"/>
    <mergeCell ref="L7:M7"/>
    <mergeCell ref="A1:P1"/>
    <mergeCell ref="A2:P2"/>
    <mergeCell ref="B3:H3"/>
    <mergeCell ref="I3:J3"/>
    <mergeCell ref="K3:L3"/>
    <mergeCell ref="M3:P3"/>
  </mergeCells>
  <hyperlinks>
    <hyperlink ref="K11" r:id="rId1"/>
  </hyperlinks>
  <pageMargins left="0.25" right="0.25" top="0.75" bottom="0.75" header="0.3" footer="0.3"/>
  <pageSetup paperSize="9" orientation="landscape" horizontalDpi="0" verticalDpi="0"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
  <dimension ref="A1:Q26"/>
  <sheetViews>
    <sheetView tabSelected="1" zoomScale="115" zoomScaleNormal="115" workbookViewId="0">
      <selection activeCell="M5" sqref="M5:N5"/>
    </sheetView>
  </sheetViews>
  <sheetFormatPr baseColWidth="10" defaultColWidth="9.140625" defaultRowHeight="15" x14ac:dyDescent="0.25"/>
  <cols>
    <col min="1" max="16" width="8.7109375" style="1" customWidth="1"/>
    <col min="17" max="16384" width="9.140625" style="1"/>
  </cols>
  <sheetData>
    <row r="1" spans="1:16" ht="28.5" x14ac:dyDescent="0.25">
      <c r="A1" s="150" t="s">
        <v>192</v>
      </c>
      <c r="B1" s="150"/>
      <c r="C1" s="150"/>
      <c r="D1" s="150"/>
      <c r="E1" s="150"/>
      <c r="F1" s="150"/>
      <c r="G1" s="150"/>
      <c r="H1" s="150"/>
      <c r="I1" s="150"/>
      <c r="J1" s="150"/>
      <c r="K1" s="150"/>
      <c r="L1" s="150"/>
      <c r="M1" s="150"/>
      <c r="N1" s="150"/>
      <c r="O1" s="150"/>
      <c r="P1" s="150"/>
    </row>
    <row r="2" spans="1:16" ht="23.25" customHeight="1" thickBot="1" x14ac:dyDescent="0.3">
      <c r="A2" s="151"/>
      <c r="B2" s="151"/>
      <c r="C2" s="151"/>
      <c r="D2" s="151"/>
      <c r="E2" s="151"/>
      <c r="F2" s="151"/>
      <c r="G2" s="151"/>
      <c r="H2" s="151"/>
      <c r="I2" s="151"/>
      <c r="J2" s="151"/>
      <c r="K2" s="151"/>
      <c r="L2" s="151"/>
      <c r="M2" s="151"/>
      <c r="N2" s="151"/>
      <c r="O2" s="151"/>
      <c r="P2" s="151"/>
    </row>
    <row r="3" spans="1:16" x14ac:dyDescent="0.25">
      <c r="A3" s="2" t="s">
        <v>1</v>
      </c>
      <c r="B3" s="103" t="s">
        <v>192</v>
      </c>
      <c r="C3" s="103"/>
      <c r="D3" s="103"/>
      <c r="E3" s="103"/>
      <c r="F3" s="103"/>
      <c r="G3" s="103"/>
      <c r="H3" s="152"/>
      <c r="I3" s="101" t="s">
        <v>6</v>
      </c>
      <c r="J3" s="102"/>
      <c r="K3" s="153">
        <v>3</v>
      </c>
      <c r="L3" s="154"/>
      <c r="M3" s="101" t="s">
        <v>9</v>
      </c>
      <c r="N3" s="102"/>
      <c r="O3" s="102"/>
      <c r="P3" s="137"/>
    </row>
    <row r="4" spans="1:16" x14ac:dyDescent="0.25">
      <c r="A4" s="3" t="s">
        <v>2</v>
      </c>
      <c r="B4" s="119" t="s">
        <v>193</v>
      </c>
      <c r="C4" s="119"/>
      <c r="D4" s="119"/>
      <c r="E4" s="119"/>
      <c r="F4" s="119"/>
      <c r="G4" s="119"/>
      <c r="H4" s="141"/>
      <c r="I4" s="142" t="s">
        <v>7</v>
      </c>
      <c r="J4" s="143"/>
      <c r="K4" s="144">
        <v>26</v>
      </c>
      <c r="L4" s="145"/>
      <c r="M4" s="21" t="s">
        <v>10</v>
      </c>
      <c r="N4" s="22" t="s">
        <v>76</v>
      </c>
      <c r="O4" s="143" t="s">
        <v>11</v>
      </c>
      <c r="P4" s="146"/>
    </row>
    <row r="5" spans="1:16" ht="15.75" thickBot="1" x14ac:dyDescent="0.3">
      <c r="A5" s="4" t="s">
        <v>480</v>
      </c>
      <c r="B5" s="71" t="s">
        <v>498</v>
      </c>
      <c r="C5" s="5" t="s">
        <v>481</v>
      </c>
      <c r="D5" s="70" t="s">
        <v>499</v>
      </c>
      <c r="E5" s="74"/>
      <c r="F5" s="5" t="s">
        <v>12</v>
      </c>
      <c r="G5" s="147">
        <v>479965050</v>
      </c>
      <c r="H5" s="126"/>
      <c r="I5" s="107" t="s">
        <v>8</v>
      </c>
      <c r="J5" s="108"/>
      <c r="K5" s="148">
        <v>400</v>
      </c>
      <c r="L5" s="149"/>
      <c r="M5" s="24"/>
      <c r="N5" s="23"/>
      <c r="O5" s="148">
        <v>240</v>
      </c>
      <c r="P5" s="149"/>
    </row>
    <row r="6" spans="1:16" ht="15.75" thickBot="1" x14ac:dyDescent="0.3">
      <c r="A6" s="12"/>
      <c r="B6" s="12"/>
      <c r="C6" s="12"/>
      <c r="D6" s="12"/>
      <c r="E6" s="12"/>
      <c r="F6" s="12"/>
      <c r="G6" s="12"/>
      <c r="H6" s="12"/>
      <c r="I6" s="12"/>
      <c r="J6" s="12"/>
      <c r="K6" s="12"/>
      <c r="L6" s="12"/>
      <c r="M6" s="12"/>
      <c r="N6" s="12"/>
      <c r="O6" s="12"/>
      <c r="P6" s="12"/>
    </row>
    <row r="7" spans="1:16" ht="15.75" thickBot="1" x14ac:dyDescent="0.3">
      <c r="A7" s="138" t="s">
        <v>31</v>
      </c>
      <c r="B7" s="139"/>
      <c r="C7" s="131"/>
      <c r="D7" s="131"/>
      <c r="E7" s="131"/>
      <c r="F7" s="131"/>
      <c r="G7" s="139" t="s">
        <v>32</v>
      </c>
      <c r="H7" s="139"/>
      <c r="I7" s="140"/>
      <c r="J7" s="140"/>
      <c r="K7" s="140"/>
      <c r="L7" s="139" t="s">
        <v>33</v>
      </c>
      <c r="M7" s="139"/>
      <c r="N7" s="131"/>
      <c r="O7" s="131"/>
      <c r="P7" s="132"/>
    </row>
    <row r="8" spans="1:16" ht="15.75" thickBot="1" x14ac:dyDescent="0.3">
      <c r="A8" s="133"/>
      <c r="B8" s="133"/>
      <c r="C8" s="133"/>
      <c r="D8" s="133"/>
      <c r="E8" s="133"/>
      <c r="F8" s="133"/>
      <c r="G8" s="133"/>
      <c r="H8" s="133"/>
      <c r="I8" s="133"/>
      <c r="J8" s="133"/>
      <c r="K8" s="133"/>
      <c r="L8" s="133"/>
      <c r="M8" s="133"/>
      <c r="N8" s="133"/>
      <c r="O8" s="133"/>
      <c r="P8" s="133"/>
    </row>
    <row r="9" spans="1:16" ht="15.75" thickBot="1" x14ac:dyDescent="0.3">
      <c r="A9" s="111" t="s">
        <v>13</v>
      </c>
      <c r="B9" s="112"/>
      <c r="C9" s="112"/>
      <c r="D9" s="112"/>
      <c r="E9" s="112"/>
      <c r="F9" s="112"/>
      <c r="G9" s="112"/>
      <c r="H9" s="112"/>
      <c r="I9" s="112"/>
      <c r="J9" s="112"/>
      <c r="K9" s="112"/>
      <c r="L9" s="112"/>
      <c r="M9" s="112"/>
      <c r="N9" s="112"/>
      <c r="O9" s="112"/>
      <c r="P9" s="113"/>
    </row>
    <row r="10" spans="1:16" s="6" customFormat="1" x14ac:dyDescent="0.25">
      <c r="A10" s="134" t="s">
        <v>1</v>
      </c>
      <c r="B10" s="135"/>
      <c r="C10" s="135" t="s">
        <v>3</v>
      </c>
      <c r="D10" s="135"/>
      <c r="E10" s="135" t="s">
        <v>4</v>
      </c>
      <c r="F10" s="135"/>
      <c r="G10" s="104" t="s">
        <v>20</v>
      </c>
      <c r="H10" s="105"/>
      <c r="I10" s="104" t="s">
        <v>21</v>
      </c>
      <c r="J10" s="136"/>
      <c r="K10" s="102" t="s">
        <v>5</v>
      </c>
      <c r="L10" s="102"/>
      <c r="M10" s="102"/>
      <c r="N10" s="102"/>
      <c r="O10" s="102"/>
      <c r="P10" s="137"/>
    </row>
    <row r="11" spans="1:16" x14ac:dyDescent="0.25">
      <c r="A11" s="118" t="s">
        <v>194</v>
      </c>
      <c r="B11" s="119"/>
      <c r="C11" s="119" t="s">
        <v>195</v>
      </c>
      <c r="D11" s="119"/>
      <c r="E11" s="119" t="s">
        <v>121</v>
      </c>
      <c r="F11" s="119"/>
      <c r="G11" s="120"/>
      <c r="H11" s="121"/>
      <c r="I11" s="120"/>
      <c r="J11" s="122"/>
      <c r="K11" s="129" t="s">
        <v>196</v>
      </c>
      <c r="L11" s="129"/>
      <c r="M11" s="129"/>
      <c r="N11" s="129"/>
      <c r="O11" s="129"/>
      <c r="P11" s="130"/>
    </row>
    <row r="12" spans="1:16" x14ac:dyDescent="0.25">
      <c r="A12" s="118"/>
      <c r="B12" s="119"/>
      <c r="C12" s="119"/>
      <c r="D12" s="119"/>
      <c r="E12" s="119"/>
      <c r="F12" s="119"/>
      <c r="G12" s="120"/>
      <c r="H12" s="121"/>
      <c r="I12" s="120"/>
      <c r="J12" s="122"/>
      <c r="K12" s="123"/>
      <c r="L12" s="123"/>
      <c r="M12" s="123"/>
      <c r="N12" s="123"/>
      <c r="O12" s="123"/>
      <c r="P12" s="124"/>
    </row>
    <row r="13" spans="1:16" x14ac:dyDescent="0.25">
      <c r="A13" s="118"/>
      <c r="B13" s="119"/>
      <c r="C13" s="119"/>
      <c r="D13" s="119"/>
      <c r="E13" s="119"/>
      <c r="F13" s="119"/>
      <c r="G13" s="120"/>
      <c r="H13" s="121"/>
      <c r="I13" s="120"/>
      <c r="J13" s="122"/>
      <c r="K13" s="123"/>
      <c r="L13" s="123"/>
      <c r="M13" s="123"/>
      <c r="N13" s="123"/>
      <c r="O13" s="123"/>
      <c r="P13" s="124"/>
    </row>
    <row r="14" spans="1:16" x14ac:dyDescent="0.25">
      <c r="A14" s="118"/>
      <c r="B14" s="119"/>
      <c r="C14" s="119"/>
      <c r="D14" s="119"/>
      <c r="E14" s="119"/>
      <c r="F14" s="119"/>
      <c r="G14" s="120"/>
      <c r="H14" s="121"/>
      <c r="I14" s="120"/>
      <c r="J14" s="122"/>
      <c r="K14" s="123"/>
      <c r="L14" s="123"/>
      <c r="M14" s="123"/>
      <c r="N14" s="123"/>
      <c r="O14" s="123"/>
      <c r="P14" s="124"/>
    </row>
    <row r="15" spans="1:16" x14ac:dyDescent="0.25">
      <c r="A15" s="118"/>
      <c r="B15" s="119"/>
      <c r="C15" s="119"/>
      <c r="D15" s="119"/>
      <c r="E15" s="119"/>
      <c r="F15" s="119"/>
      <c r="G15" s="120"/>
      <c r="H15" s="121"/>
      <c r="I15" s="120"/>
      <c r="J15" s="122"/>
      <c r="K15" s="123"/>
      <c r="L15" s="123"/>
      <c r="M15" s="123"/>
      <c r="N15" s="123"/>
      <c r="O15" s="123"/>
      <c r="P15" s="124"/>
    </row>
    <row r="16" spans="1:16" ht="15.75" thickBot="1" x14ac:dyDescent="0.3">
      <c r="A16" s="125"/>
      <c r="B16" s="109"/>
      <c r="C16" s="109"/>
      <c r="D16" s="109"/>
      <c r="E16" s="109"/>
      <c r="F16" s="109"/>
      <c r="G16" s="126"/>
      <c r="H16" s="127"/>
      <c r="I16" s="126"/>
      <c r="J16" s="128"/>
      <c r="K16" s="116"/>
      <c r="L16" s="116"/>
      <c r="M16" s="116"/>
      <c r="N16" s="116"/>
      <c r="O16" s="116"/>
      <c r="P16" s="117"/>
    </row>
    <row r="17" spans="1:17" ht="15.75" thickBot="1" x14ac:dyDescent="0.3">
      <c r="A17" s="100"/>
      <c r="B17" s="100"/>
      <c r="C17" s="100"/>
      <c r="D17" s="100"/>
      <c r="E17" s="100"/>
      <c r="F17" s="100"/>
      <c r="G17" s="100"/>
      <c r="H17" s="100"/>
      <c r="I17" s="100"/>
      <c r="J17" s="100"/>
      <c r="K17" s="100"/>
      <c r="L17" s="100"/>
      <c r="M17" s="100"/>
      <c r="N17" s="100"/>
      <c r="O17" s="100"/>
      <c r="P17" s="100"/>
    </row>
    <row r="18" spans="1:17" x14ac:dyDescent="0.25">
      <c r="A18" s="101" t="s">
        <v>23</v>
      </c>
      <c r="B18" s="102"/>
      <c r="C18" s="102"/>
      <c r="D18" s="103"/>
      <c r="E18" s="103"/>
      <c r="F18" s="103"/>
      <c r="G18" s="103"/>
      <c r="H18" s="103"/>
      <c r="I18" s="103"/>
      <c r="J18" s="104" t="s">
        <v>25</v>
      </c>
      <c r="K18" s="105"/>
      <c r="L18" s="103"/>
      <c r="M18" s="103"/>
      <c r="N18" s="103"/>
      <c r="O18" s="103"/>
      <c r="P18" s="106"/>
    </row>
    <row r="19" spans="1:17" ht="15.75" thickBot="1" x14ac:dyDescent="0.3">
      <c r="A19" s="107" t="s">
        <v>24</v>
      </c>
      <c r="B19" s="108"/>
      <c r="C19" s="108"/>
      <c r="D19" s="109"/>
      <c r="E19" s="109"/>
      <c r="F19" s="109"/>
      <c r="G19" s="109"/>
      <c r="H19" s="109"/>
      <c r="I19" s="109"/>
      <c r="J19" s="108" t="s">
        <v>26</v>
      </c>
      <c r="K19" s="108"/>
      <c r="L19" s="109"/>
      <c r="M19" s="109"/>
      <c r="N19" s="109"/>
      <c r="O19" s="109"/>
      <c r="P19" s="110"/>
    </row>
    <row r="20" spans="1:17" ht="15.75" thickBot="1" x14ac:dyDescent="0.3">
      <c r="A20" s="100"/>
      <c r="B20" s="100"/>
      <c r="C20" s="100"/>
      <c r="D20" s="100"/>
      <c r="E20" s="100"/>
      <c r="F20" s="100"/>
      <c r="G20" s="100"/>
      <c r="H20" s="100"/>
      <c r="I20" s="100"/>
      <c r="J20" s="100"/>
      <c r="K20" s="100"/>
      <c r="L20" s="100"/>
      <c r="M20" s="100"/>
      <c r="N20" s="100"/>
      <c r="O20" s="100"/>
      <c r="P20" s="100"/>
    </row>
    <row r="21" spans="1:17" ht="15.75" thickBot="1" x14ac:dyDescent="0.3">
      <c r="A21" s="111" t="s">
        <v>27</v>
      </c>
      <c r="B21" s="112"/>
      <c r="C21" s="112" t="s">
        <v>28</v>
      </c>
      <c r="D21" s="112"/>
      <c r="E21" s="112"/>
      <c r="F21" s="112"/>
      <c r="G21" s="112"/>
      <c r="H21" s="112"/>
      <c r="I21" s="112"/>
      <c r="J21" s="112"/>
      <c r="K21" s="112"/>
      <c r="L21" s="112"/>
      <c r="M21" s="112"/>
      <c r="N21" s="112"/>
      <c r="O21" s="112"/>
      <c r="P21" s="113"/>
      <c r="Q21" s="7"/>
    </row>
    <row r="22" spans="1:17" ht="30" customHeight="1" x14ac:dyDescent="0.25">
      <c r="A22" s="114">
        <v>42116</v>
      </c>
      <c r="B22" s="115"/>
      <c r="C22" s="91" t="s">
        <v>197</v>
      </c>
      <c r="D22" s="91"/>
      <c r="E22" s="91"/>
      <c r="F22" s="91"/>
      <c r="G22" s="91"/>
      <c r="H22" s="91"/>
      <c r="I22" s="91"/>
      <c r="J22" s="91"/>
      <c r="K22" s="91"/>
      <c r="L22" s="91"/>
      <c r="M22" s="91"/>
      <c r="N22" s="91"/>
      <c r="O22" s="91"/>
      <c r="P22" s="92"/>
      <c r="Q22" s="7"/>
    </row>
    <row r="23" spans="1:17" ht="30" customHeight="1" x14ac:dyDescent="0.25">
      <c r="A23" s="89"/>
      <c r="B23" s="90"/>
      <c r="C23" s="97"/>
      <c r="D23" s="98"/>
      <c r="E23" s="98"/>
      <c r="F23" s="98"/>
      <c r="G23" s="98"/>
      <c r="H23" s="98"/>
      <c r="I23" s="98"/>
      <c r="J23" s="98"/>
      <c r="K23" s="98"/>
      <c r="L23" s="98"/>
      <c r="M23" s="98"/>
      <c r="N23" s="98"/>
      <c r="O23" s="98"/>
      <c r="P23" s="99"/>
      <c r="Q23" s="7"/>
    </row>
    <row r="24" spans="1:17" ht="30" customHeight="1" x14ac:dyDescent="0.25">
      <c r="A24" s="89"/>
      <c r="B24" s="90"/>
      <c r="C24" s="91"/>
      <c r="D24" s="91"/>
      <c r="E24" s="91"/>
      <c r="F24" s="91"/>
      <c r="G24" s="91"/>
      <c r="H24" s="91"/>
      <c r="I24" s="91"/>
      <c r="J24" s="91"/>
      <c r="K24" s="91"/>
      <c r="L24" s="91"/>
      <c r="M24" s="91"/>
      <c r="N24" s="91"/>
      <c r="O24" s="91"/>
      <c r="P24" s="92"/>
      <c r="Q24" s="7"/>
    </row>
    <row r="25" spans="1:17" ht="30" customHeight="1" x14ac:dyDescent="0.25">
      <c r="A25" s="89"/>
      <c r="B25" s="90"/>
      <c r="C25" s="91"/>
      <c r="D25" s="91"/>
      <c r="E25" s="91"/>
      <c r="F25" s="91"/>
      <c r="G25" s="91"/>
      <c r="H25" s="91"/>
      <c r="I25" s="91"/>
      <c r="J25" s="91"/>
      <c r="K25" s="91"/>
      <c r="L25" s="91"/>
      <c r="M25" s="91"/>
      <c r="N25" s="91"/>
      <c r="O25" s="91"/>
      <c r="P25" s="92"/>
    </row>
    <row r="26" spans="1:17" ht="30" customHeight="1" thickBot="1" x14ac:dyDescent="0.3">
      <c r="A26" s="93"/>
      <c r="B26" s="94"/>
      <c r="C26" s="95"/>
      <c r="D26" s="95"/>
      <c r="E26" s="95"/>
      <c r="F26" s="95"/>
      <c r="G26" s="95"/>
      <c r="H26" s="95"/>
      <c r="I26" s="95"/>
      <c r="J26" s="95"/>
      <c r="K26" s="95"/>
      <c r="L26" s="95"/>
      <c r="M26" s="95"/>
      <c r="N26" s="95"/>
      <c r="O26" s="95"/>
      <c r="P26" s="96"/>
    </row>
  </sheetData>
  <mergeCells count="86">
    <mergeCell ref="A24:B24"/>
    <mergeCell ref="C24:P24"/>
    <mergeCell ref="A25:B25"/>
    <mergeCell ref="C25:P25"/>
    <mergeCell ref="A26:B26"/>
    <mergeCell ref="C26:P26"/>
    <mergeCell ref="A23:B23"/>
    <mergeCell ref="C23:P23"/>
    <mergeCell ref="A17:P17"/>
    <mergeCell ref="A18:C18"/>
    <mergeCell ref="D18:I18"/>
    <mergeCell ref="J18:K18"/>
    <mergeCell ref="L18:P18"/>
    <mergeCell ref="A19:C19"/>
    <mergeCell ref="D19:I19"/>
    <mergeCell ref="J19:K19"/>
    <mergeCell ref="L19:P19"/>
    <mergeCell ref="A20:P20"/>
    <mergeCell ref="A21:B21"/>
    <mergeCell ref="C21:P21"/>
    <mergeCell ref="A22:B22"/>
    <mergeCell ref="C22:P22"/>
    <mergeCell ref="K16:P16"/>
    <mergeCell ref="A15:B15"/>
    <mergeCell ref="C15:D15"/>
    <mergeCell ref="E15:F15"/>
    <mergeCell ref="G15:H15"/>
    <mergeCell ref="I15:J15"/>
    <mergeCell ref="K15:P15"/>
    <mergeCell ref="A16:B16"/>
    <mergeCell ref="C16:D16"/>
    <mergeCell ref="E16:F16"/>
    <mergeCell ref="G16:H16"/>
    <mergeCell ref="I16:J16"/>
    <mergeCell ref="K14:P14"/>
    <mergeCell ref="A13:B13"/>
    <mergeCell ref="C13:D13"/>
    <mergeCell ref="E13:F13"/>
    <mergeCell ref="G13:H13"/>
    <mergeCell ref="I13:J13"/>
    <mergeCell ref="K13:P13"/>
    <mergeCell ref="A14:B14"/>
    <mergeCell ref="C14:D14"/>
    <mergeCell ref="E14:F14"/>
    <mergeCell ref="G14:H14"/>
    <mergeCell ref="I14:J14"/>
    <mergeCell ref="K12:P12"/>
    <mergeCell ref="A11:B11"/>
    <mergeCell ref="C11:D11"/>
    <mergeCell ref="E11:F11"/>
    <mergeCell ref="G11:H11"/>
    <mergeCell ref="I11:J11"/>
    <mergeCell ref="K11:P11"/>
    <mergeCell ref="A12:B12"/>
    <mergeCell ref="C12:D12"/>
    <mergeCell ref="E12:F12"/>
    <mergeCell ref="G12:H12"/>
    <mergeCell ref="I12:J12"/>
    <mergeCell ref="A8:P8"/>
    <mergeCell ref="A9:P9"/>
    <mergeCell ref="A10:B10"/>
    <mergeCell ref="C10:D10"/>
    <mergeCell ref="E10:F10"/>
    <mergeCell ref="G10:H10"/>
    <mergeCell ref="I10:J10"/>
    <mergeCell ref="K10:P10"/>
    <mergeCell ref="N7:P7"/>
    <mergeCell ref="B4:H4"/>
    <mergeCell ref="I4:J4"/>
    <mergeCell ref="K4:L4"/>
    <mergeCell ref="O4:P4"/>
    <mergeCell ref="G5:H5"/>
    <mergeCell ref="I5:J5"/>
    <mergeCell ref="K5:L5"/>
    <mergeCell ref="O5:P5"/>
    <mergeCell ref="A7:B7"/>
    <mergeCell ref="C7:F7"/>
    <mergeCell ref="G7:H7"/>
    <mergeCell ref="I7:K7"/>
    <mergeCell ref="L7:M7"/>
    <mergeCell ref="A1:P1"/>
    <mergeCell ref="A2:P2"/>
    <mergeCell ref="B3:H3"/>
    <mergeCell ref="I3:J3"/>
    <mergeCell ref="K3:L3"/>
    <mergeCell ref="M3:P3"/>
  </mergeCells>
  <hyperlinks>
    <hyperlink ref="K11" r:id="rId1"/>
  </hyperlinks>
  <pageMargins left="0.25" right="0.25" top="0.75" bottom="0.75" header="0.3" footer="0.3"/>
  <pageSetup paperSize="9" orientation="landscape" horizontalDpi="0" verticalDpi="0"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8"/>
  <dimension ref="A1:Q26"/>
  <sheetViews>
    <sheetView tabSelected="1" zoomScale="115" zoomScaleNormal="115" workbookViewId="0">
      <selection activeCell="M5" sqref="M5:N5"/>
    </sheetView>
  </sheetViews>
  <sheetFormatPr baseColWidth="10" defaultColWidth="9.140625" defaultRowHeight="15" x14ac:dyDescent="0.25"/>
  <cols>
    <col min="1" max="16" width="8.7109375" style="1" customWidth="1"/>
    <col min="17" max="16384" width="9.140625" style="1"/>
  </cols>
  <sheetData>
    <row r="1" spans="1:16" ht="28.5" x14ac:dyDescent="0.25">
      <c r="A1" s="150" t="s">
        <v>182</v>
      </c>
      <c r="B1" s="150"/>
      <c r="C1" s="150"/>
      <c r="D1" s="150"/>
      <c r="E1" s="150"/>
      <c r="F1" s="150"/>
      <c r="G1" s="150"/>
      <c r="H1" s="150"/>
      <c r="I1" s="150"/>
      <c r="J1" s="150"/>
      <c r="K1" s="150"/>
      <c r="L1" s="150"/>
      <c r="M1" s="150"/>
      <c r="N1" s="150"/>
      <c r="O1" s="150"/>
      <c r="P1" s="150"/>
    </row>
    <row r="2" spans="1:16" ht="23.25" customHeight="1" thickBot="1" x14ac:dyDescent="0.3">
      <c r="A2" s="151"/>
      <c r="B2" s="151"/>
      <c r="C2" s="151"/>
      <c r="D2" s="151"/>
      <c r="E2" s="151"/>
      <c r="F2" s="151"/>
      <c r="G2" s="151"/>
      <c r="H2" s="151"/>
      <c r="I2" s="151"/>
      <c r="J2" s="151"/>
      <c r="K2" s="151"/>
      <c r="L2" s="151"/>
      <c r="M2" s="151"/>
      <c r="N2" s="151"/>
      <c r="O2" s="151"/>
      <c r="P2" s="151"/>
    </row>
    <row r="3" spans="1:16" x14ac:dyDescent="0.25">
      <c r="A3" s="2" t="s">
        <v>1</v>
      </c>
      <c r="B3" s="103" t="s">
        <v>183</v>
      </c>
      <c r="C3" s="103"/>
      <c r="D3" s="103"/>
      <c r="E3" s="103"/>
      <c r="F3" s="103"/>
      <c r="G3" s="103"/>
      <c r="H3" s="152"/>
      <c r="I3" s="101" t="s">
        <v>6</v>
      </c>
      <c r="J3" s="102"/>
      <c r="K3" s="153">
        <v>3</v>
      </c>
      <c r="L3" s="154"/>
      <c r="M3" s="101" t="s">
        <v>9</v>
      </c>
      <c r="N3" s="102"/>
      <c r="O3" s="102"/>
      <c r="P3" s="137"/>
    </row>
    <row r="4" spans="1:16" x14ac:dyDescent="0.25">
      <c r="A4" s="3" t="s">
        <v>2</v>
      </c>
      <c r="B4" s="119" t="s">
        <v>184</v>
      </c>
      <c r="C4" s="119"/>
      <c r="D4" s="119"/>
      <c r="E4" s="119"/>
      <c r="F4" s="119"/>
      <c r="G4" s="119"/>
      <c r="H4" s="141"/>
      <c r="I4" s="142" t="s">
        <v>7</v>
      </c>
      <c r="J4" s="143"/>
      <c r="K4" s="144">
        <v>60</v>
      </c>
      <c r="L4" s="145"/>
      <c r="M4" s="21" t="s">
        <v>10</v>
      </c>
      <c r="N4" s="22" t="s">
        <v>76</v>
      </c>
      <c r="O4" s="143" t="s">
        <v>11</v>
      </c>
      <c r="P4" s="146"/>
    </row>
    <row r="5" spans="1:16" ht="15.75" thickBot="1" x14ac:dyDescent="0.3">
      <c r="A5" s="4" t="s">
        <v>480</v>
      </c>
      <c r="B5" s="71" t="s">
        <v>500</v>
      </c>
      <c r="C5" s="5" t="s">
        <v>481</v>
      </c>
      <c r="D5" s="70" t="s">
        <v>501</v>
      </c>
      <c r="E5" s="74"/>
      <c r="F5" s="5" t="s">
        <v>12</v>
      </c>
      <c r="G5" s="147">
        <v>161696169</v>
      </c>
      <c r="H5" s="126"/>
      <c r="I5" s="107" t="s">
        <v>8</v>
      </c>
      <c r="J5" s="108"/>
      <c r="K5" s="148">
        <v>600</v>
      </c>
      <c r="L5" s="149"/>
      <c r="M5" s="24"/>
      <c r="N5" s="23"/>
      <c r="O5" s="148">
        <v>480</v>
      </c>
      <c r="P5" s="149"/>
    </row>
    <row r="6" spans="1:16" ht="15.75" thickBot="1" x14ac:dyDescent="0.3">
      <c r="A6" s="12"/>
      <c r="B6" s="12"/>
      <c r="C6" s="12"/>
      <c r="D6" s="12"/>
      <c r="E6" s="12"/>
      <c r="F6" s="12"/>
      <c r="G6" s="12"/>
      <c r="H6" s="12"/>
      <c r="I6" s="12"/>
      <c r="J6" s="12"/>
      <c r="K6" s="12"/>
      <c r="L6" s="12"/>
      <c r="M6" s="12"/>
      <c r="N6" s="12"/>
      <c r="O6" s="12"/>
      <c r="P6" s="12"/>
    </row>
    <row r="7" spans="1:16" ht="15.75" thickBot="1" x14ac:dyDescent="0.3">
      <c r="A7" s="138" t="s">
        <v>31</v>
      </c>
      <c r="B7" s="139"/>
      <c r="C7" s="131"/>
      <c r="D7" s="131"/>
      <c r="E7" s="131"/>
      <c r="F7" s="131"/>
      <c r="G7" s="139" t="s">
        <v>32</v>
      </c>
      <c r="H7" s="139"/>
      <c r="I7" s="140"/>
      <c r="J7" s="140"/>
      <c r="K7" s="140"/>
      <c r="L7" s="139" t="s">
        <v>33</v>
      </c>
      <c r="M7" s="139"/>
      <c r="N7" s="131"/>
      <c r="O7" s="131"/>
      <c r="P7" s="132"/>
    </row>
    <row r="8" spans="1:16" ht="15.75" thickBot="1" x14ac:dyDescent="0.3">
      <c r="A8" s="133"/>
      <c r="B8" s="133"/>
      <c r="C8" s="133"/>
      <c r="D8" s="133"/>
      <c r="E8" s="133"/>
      <c r="F8" s="133"/>
      <c r="G8" s="133"/>
      <c r="H8" s="133"/>
      <c r="I8" s="133"/>
      <c r="J8" s="133"/>
      <c r="K8" s="133"/>
      <c r="L8" s="133"/>
      <c r="M8" s="133"/>
      <c r="N8" s="133"/>
      <c r="O8" s="133"/>
      <c r="P8" s="133"/>
    </row>
    <row r="9" spans="1:16" ht="15.75" thickBot="1" x14ac:dyDescent="0.3">
      <c r="A9" s="111" t="s">
        <v>13</v>
      </c>
      <c r="B9" s="112"/>
      <c r="C9" s="112"/>
      <c r="D9" s="112"/>
      <c r="E9" s="112"/>
      <c r="F9" s="112"/>
      <c r="G9" s="112"/>
      <c r="H9" s="112"/>
      <c r="I9" s="112"/>
      <c r="J9" s="112"/>
      <c r="K9" s="112"/>
      <c r="L9" s="112"/>
      <c r="M9" s="112"/>
      <c r="N9" s="112"/>
      <c r="O9" s="112"/>
      <c r="P9" s="113"/>
    </row>
    <row r="10" spans="1:16" s="6" customFormat="1" x14ac:dyDescent="0.25">
      <c r="A10" s="134" t="s">
        <v>1</v>
      </c>
      <c r="B10" s="135"/>
      <c r="C10" s="135" t="s">
        <v>3</v>
      </c>
      <c r="D10" s="135"/>
      <c r="E10" s="135" t="s">
        <v>4</v>
      </c>
      <c r="F10" s="135"/>
      <c r="G10" s="104" t="s">
        <v>20</v>
      </c>
      <c r="H10" s="105"/>
      <c r="I10" s="104" t="s">
        <v>21</v>
      </c>
      <c r="J10" s="136"/>
      <c r="K10" s="102" t="s">
        <v>5</v>
      </c>
      <c r="L10" s="102"/>
      <c r="M10" s="102"/>
      <c r="N10" s="102"/>
      <c r="O10" s="102"/>
      <c r="P10" s="137"/>
    </row>
    <row r="11" spans="1:16" x14ac:dyDescent="0.25">
      <c r="A11" s="118" t="s">
        <v>185</v>
      </c>
      <c r="B11" s="119"/>
      <c r="C11" s="119" t="s">
        <v>186</v>
      </c>
      <c r="D11" s="119"/>
      <c r="E11" s="119" t="s">
        <v>71</v>
      </c>
      <c r="F11" s="119"/>
      <c r="G11" s="120">
        <v>161697174</v>
      </c>
      <c r="H11" s="121"/>
      <c r="I11" s="120"/>
      <c r="J11" s="122"/>
      <c r="K11" s="129" t="s">
        <v>187</v>
      </c>
      <c r="L11" s="129"/>
      <c r="M11" s="129"/>
      <c r="N11" s="129"/>
      <c r="O11" s="129"/>
      <c r="P11" s="130"/>
    </row>
    <row r="12" spans="1:16" x14ac:dyDescent="0.25">
      <c r="A12" s="118" t="s">
        <v>188</v>
      </c>
      <c r="B12" s="119"/>
      <c r="C12" s="119"/>
      <c r="D12" s="119"/>
      <c r="E12" s="119" t="s">
        <v>71</v>
      </c>
      <c r="F12" s="119"/>
      <c r="G12" s="120">
        <v>161697174</v>
      </c>
      <c r="H12" s="121"/>
      <c r="I12" s="120"/>
      <c r="J12" s="122"/>
      <c r="K12" s="123"/>
      <c r="L12" s="123"/>
      <c r="M12" s="123"/>
      <c r="N12" s="123"/>
      <c r="O12" s="123"/>
      <c r="P12" s="124"/>
    </row>
    <row r="13" spans="1:16" x14ac:dyDescent="0.25">
      <c r="A13" s="118" t="s">
        <v>189</v>
      </c>
      <c r="B13" s="119"/>
      <c r="C13" s="119" t="s">
        <v>110</v>
      </c>
      <c r="D13" s="119"/>
      <c r="E13" s="119" t="s">
        <v>190</v>
      </c>
      <c r="F13" s="119"/>
      <c r="G13" s="120">
        <v>161692914</v>
      </c>
      <c r="H13" s="121"/>
      <c r="I13" s="120"/>
      <c r="J13" s="122"/>
      <c r="K13" s="123"/>
      <c r="L13" s="123"/>
      <c r="M13" s="123"/>
      <c r="N13" s="123"/>
      <c r="O13" s="123"/>
      <c r="P13" s="124"/>
    </row>
    <row r="14" spans="1:16" x14ac:dyDescent="0.25">
      <c r="A14" s="118"/>
      <c r="B14" s="119"/>
      <c r="C14" s="119"/>
      <c r="D14" s="119"/>
      <c r="E14" s="119"/>
      <c r="F14" s="119"/>
      <c r="G14" s="120"/>
      <c r="H14" s="121"/>
      <c r="I14" s="120"/>
      <c r="J14" s="122"/>
      <c r="K14" s="123"/>
      <c r="L14" s="123"/>
      <c r="M14" s="123"/>
      <c r="N14" s="123"/>
      <c r="O14" s="123"/>
      <c r="P14" s="124"/>
    </row>
    <row r="15" spans="1:16" x14ac:dyDescent="0.25">
      <c r="A15" s="118"/>
      <c r="B15" s="119"/>
      <c r="C15" s="119"/>
      <c r="D15" s="119"/>
      <c r="E15" s="119"/>
      <c r="F15" s="119"/>
      <c r="G15" s="120"/>
      <c r="H15" s="121"/>
      <c r="I15" s="120"/>
      <c r="J15" s="122"/>
      <c r="K15" s="123"/>
      <c r="L15" s="123"/>
      <c r="M15" s="123"/>
      <c r="N15" s="123"/>
      <c r="O15" s="123"/>
      <c r="P15" s="124"/>
    </row>
    <row r="16" spans="1:16" ht="15.75" thickBot="1" x14ac:dyDescent="0.3">
      <c r="A16" s="125"/>
      <c r="B16" s="109"/>
      <c r="C16" s="109"/>
      <c r="D16" s="109"/>
      <c r="E16" s="109"/>
      <c r="F16" s="109"/>
      <c r="G16" s="126"/>
      <c r="H16" s="127"/>
      <c r="I16" s="126"/>
      <c r="J16" s="128"/>
      <c r="K16" s="116"/>
      <c r="L16" s="116"/>
      <c r="M16" s="116"/>
      <c r="N16" s="116"/>
      <c r="O16" s="116"/>
      <c r="P16" s="117"/>
    </row>
    <row r="17" spans="1:17" ht="15.75" thickBot="1" x14ac:dyDescent="0.3">
      <c r="A17" s="100"/>
      <c r="B17" s="100"/>
      <c r="C17" s="100"/>
      <c r="D17" s="100"/>
      <c r="E17" s="100"/>
      <c r="F17" s="100"/>
      <c r="G17" s="100"/>
      <c r="H17" s="100"/>
      <c r="I17" s="100"/>
      <c r="J17" s="100"/>
      <c r="K17" s="100"/>
      <c r="L17" s="100"/>
      <c r="M17" s="100"/>
      <c r="N17" s="100"/>
      <c r="O17" s="100"/>
      <c r="P17" s="100"/>
    </row>
    <row r="18" spans="1:17" x14ac:dyDescent="0.25">
      <c r="A18" s="101" t="s">
        <v>23</v>
      </c>
      <c r="B18" s="102"/>
      <c r="C18" s="102"/>
      <c r="D18" s="103"/>
      <c r="E18" s="103"/>
      <c r="F18" s="103"/>
      <c r="G18" s="103"/>
      <c r="H18" s="103"/>
      <c r="I18" s="103"/>
      <c r="J18" s="104" t="s">
        <v>25</v>
      </c>
      <c r="K18" s="105"/>
      <c r="L18" s="103"/>
      <c r="M18" s="103"/>
      <c r="N18" s="103"/>
      <c r="O18" s="103"/>
      <c r="P18" s="106"/>
    </row>
    <row r="19" spans="1:17" ht="15.75" thickBot="1" x14ac:dyDescent="0.3">
      <c r="A19" s="107" t="s">
        <v>24</v>
      </c>
      <c r="B19" s="108"/>
      <c r="C19" s="108"/>
      <c r="D19" s="109"/>
      <c r="E19" s="109"/>
      <c r="F19" s="109"/>
      <c r="G19" s="109"/>
      <c r="H19" s="109"/>
      <c r="I19" s="109"/>
      <c r="J19" s="108" t="s">
        <v>26</v>
      </c>
      <c r="K19" s="108"/>
      <c r="L19" s="109"/>
      <c r="M19" s="109"/>
      <c r="N19" s="109"/>
      <c r="O19" s="109"/>
      <c r="P19" s="110"/>
    </row>
    <row r="20" spans="1:17" ht="15.75" thickBot="1" x14ac:dyDescent="0.3">
      <c r="A20" s="100"/>
      <c r="B20" s="100"/>
      <c r="C20" s="100"/>
      <c r="D20" s="100"/>
      <c r="E20" s="100"/>
      <c r="F20" s="100"/>
      <c r="G20" s="100"/>
      <c r="H20" s="100"/>
      <c r="I20" s="100"/>
      <c r="J20" s="100"/>
      <c r="K20" s="100"/>
      <c r="L20" s="100"/>
      <c r="M20" s="100"/>
      <c r="N20" s="100"/>
      <c r="O20" s="100"/>
      <c r="P20" s="100"/>
    </row>
    <row r="21" spans="1:17" ht="15.75" thickBot="1" x14ac:dyDescent="0.3">
      <c r="A21" s="111" t="s">
        <v>27</v>
      </c>
      <c r="B21" s="112"/>
      <c r="C21" s="112" t="s">
        <v>28</v>
      </c>
      <c r="D21" s="112"/>
      <c r="E21" s="112"/>
      <c r="F21" s="112"/>
      <c r="G21" s="112"/>
      <c r="H21" s="112"/>
      <c r="I21" s="112"/>
      <c r="J21" s="112"/>
      <c r="K21" s="112"/>
      <c r="L21" s="112"/>
      <c r="M21" s="112"/>
      <c r="N21" s="112"/>
      <c r="O21" s="112"/>
      <c r="P21" s="113"/>
      <c r="Q21" s="7"/>
    </row>
    <row r="22" spans="1:17" ht="30" customHeight="1" x14ac:dyDescent="0.25">
      <c r="A22" s="114">
        <v>42116</v>
      </c>
      <c r="B22" s="115"/>
      <c r="C22" s="91" t="s">
        <v>191</v>
      </c>
      <c r="D22" s="91"/>
      <c r="E22" s="91"/>
      <c r="F22" s="91"/>
      <c r="G22" s="91"/>
      <c r="H22" s="91"/>
      <c r="I22" s="91"/>
      <c r="J22" s="91"/>
      <c r="K22" s="91"/>
      <c r="L22" s="91"/>
      <c r="M22" s="91"/>
      <c r="N22" s="91"/>
      <c r="O22" s="91"/>
      <c r="P22" s="92"/>
      <c r="Q22" s="7"/>
    </row>
    <row r="23" spans="1:17" ht="30" customHeight="1" x14ac:dyDescent="0.25">
      <c r="A23" s="89"/>
      <c r="B23" s="90"/>
      <c r="C23" s="97"/>
      <c r="D23" s="98"/>
      <c r="E23" s="98"/>
      <c r="F23" s="98"/>
      <c r="G23" s="98"/>
      <c r="H23" s="98"/>
      <c r="I23" s="98"/>
      <c r="J23" s="98"/>
      <c r="K23" s="98"/>
      <c r="L23" s="98"/>
      <c r="M23" s="98"/>
      <c r="N23" s="98"/>
      <c r="O23" s="98"/>
      <c r="P23" s="99"/>
      <c r="Q23" s="7"/>
    </row>
    <row r="24" spans="1:17" ht="30" customHeight="1" x14ac:dyDescent="0.25">
      <c r="A24" s="89"/>
      <c r="B24" s="90"/>
      <c r="C24" s="91"/>
      <c r="D24" s="91"/>
      <c r="E24" s="91"/>
      <c r="F24" s="91"/>
      <c r="G24" s="91"/>
      <c r="H24" s="91"/>
      <c r="I24" s="91"/>
      <c r="J24" s="91"/>
      <c r="K24" s="91"/>
      <c r="L24" s="91"/>
      <c r="M24" s="91"/>
      <c r="N24" s="91"/>
      <c r="O24" s="91"/>
      <c r="P24" s="92"/>
      <c r="Q24" s="7"/>
    </row>
    <row r="25" spans="1:17" ht="30" customHeight="1" x14ac:dyDescent="0.25">
      <c r="A25" s="89"/>
      <c r="B25" s="90"/>
      <c r="C25" s="91"/>
      <c r="D25" s="91"/>
      <c r="E25" s="91"/>
      <c r="F25" s="91"/>
      <c r="G25" s="91"/>
      <c r="H25" s="91"/>
      <c r="I25" s="91"/>
      <c r="J25" s="91"/>
      <c r="K25" s="91"/>
      <c r="L25" s="91"/>
      <c r="M25" s="91"/>
      <c r="N25" s="91"/>
      <c r="O25" s="91"/>
      <c r="P25" s="92"/>
    </row>
    <row r="26" spans="1:17" ht="30" customHeight="1" thickBot="1" x14ac:dyDescent="0.3">
      <c r="A26" s="93"/>
      <c r="B26" s="94"/>
      <c r="C26" s="95"/>
      <c r="D26" s="95"/>
      <c r="E26" s="95"/>
      <c r="F26" s="95"/>
      <c r="G26" s="95"/>
      <c r="H26" s="95"/>
      <c r="I26" s="95"/>
      <c r="J26" s="95"/>
      <c r="K26" s="95"/>
      <c r="L26" s="95"/>
      <c r="M26" s="95"/>
      <c r="N26" s="95"/>
      <c r="O26" s="95"/>
      <c r="P26" s="96"/>
    </row>
  </sheetData>
  <mergeCells count="86">
    <mergeCell ref="A24:B24"/>
    <mergeCell ref="C24:P24"/>
    <mergeCell ref="A25:B25"/>
    <mergeCell ref="C25:P25"/>
    <mergeCell ref="A26:B26"/>
    <mergeCell ref="C26:P26"/>
    <mergeCell ref="A23:B23"/>
    <mergeCell ref="C23:P23"/>
    <mergeCell ref="A17:P17"/>
    <mergeCell ref="A18:C18"/>
    <mergeCell ref="D18:I18"/>
    <mergeCell ref="J18:K18"/>
    <mergeCell ref="L18:P18"/>
    <mergeCell ref="A19:C19"/>
    <mergeCell ref="D19:I19"/>
    <mergeCell ref="J19:K19"/>
    <mergeCell ref="L19:P19"/>
    <mergeCell ref="A20:P20"/>
    <mergeCell ref="A21:B21"/>
    <mergeCell ref="C21:P21"/>
    <mergeCell ref="A22:B22"/>
    <mergeCell ref="C22:P22"/>
    <mergeCell ref="K16:P16"/>
    <mergeCell ref="A15:B15"/>
    <mergeCell ref="C15:D15"/>
    <mergeCell ref="E15:F15"/>
    <mergeCell ref="G15:H15"/>
    <mergeCell ref="I15:J15"/>
    <mergeCell ref="K15:P15"/>
    <mergeCell ref="A16:B16"/>
    <mergeCell ref="C16:D16"/>
    <mergeCell ref="E16:F16"/>
    <mergeCell ref="G16:H16"/>
    <mergeCell ref="I16:J16"/>
    <mergeCell ref="K14:P14"/>
    <mergeCell ref="A13:B13"/>
    <mergeCell ref="C13:D13"/>
    <mergeCell ref="E13:F13"/>
    <mergeCell ref="G13:H13"/>
    <mergeCell ref="I13:J13"/>
    <mergeCell ref="K13:P13"/>
    <mergeCell ref="A14:B14"/>
    <mergeCell ref="C14:D14"/>
    <mergeCell ref="E14:F14"/>
    <mergeCell ref="G14:H14"/>
    <mergeCell ref="I14:J14"/>
    <mergeCell ref="K12:P12"/>
    <mergeCell ref="A11:B11"/>
    <mergeCell ref="C11:D11"/>
    <mergeCell ref="E11:F11"/>
    <mergeCell ref="G11:H11"/>
    <mergeCell ref="I11:J11"/>
    <mergeCell ref="K11:P11"/>
    <mergeCell ref="A12:B12"/>
    <mergeCell ref="C12:D12"/>
    <mergeCell ref="E12:F12"/>
    <mergeCell ref="G12:H12"/>
    <mergeCell ref="I12:J12"/>
    <mergeCell ref="A8:P8"/>
    <mergeCell ref="A9:P9"/>
    <mergeCell ref="A10:B10"/>
    <mergeCell ref="C10:D10"/>
    <mergeCell ref="E10:F10"/>
    <mergeCell ref="G10:H10"/>
    <mergeCell ref="I10:J10"/>
    <mergeCell ref="K10:P10"/>
    <mergeCell ref="N7:P7"/>
    <mergeCell ref="B4:H4"/>
    <mergeCell ref="I4:J4"/>
    <mergeCell ref="K4:L4"/>
    <mergeCell ref="O4:P4"/>
    <mergeCell ref="G5:H5"/>
    <mergeCell ref="I5:J5"/>
    <mergeCell ref="K5:L5"/>
    <mergeCell ref="O5:P5"/>
    <mergeCell ref="A7:B7"/>
    <mergeCell ref="C7:F7"/>
    <mergeCell ref="G7:H7"/>
    <mergeCell ref="I7:K7"/>
    <mergeCell ref="L7:M7"/>
    <mergeCell ref="A1:P1"/>
    <mergeCell ref="A2:P2"/>
    <mergeCell ref="B3:H3"/>
    <mergeCell ref="I3:J3"/>
    <mergeCell ref="K3:L3"/>
    <mergeCell ref="M3:P3"/>
  </mergeCells>
  <hyperlinks>
    <hyperlink ref="K11" r:id="rId1"/>
  </hyperlinks>
  <pageMargins left="0.25" right="0.25" top="0.75" bottom="0.75" header="0.3" footer="0.3"/>
  <pageSetup paperSize="9" orientation="landscape" horizontalDpi="0" verticalDpi="0"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9"/>
  <dimension ref="A1:Q26"/>
  <sheetViews>
    <sheetView tabSelected="1" zoomScale="115" zoomScaleNormal="115" workbookViewId="0">
      <selection activeCell="M5" sqref="M5:N5"/>
    </sheetView>
  </sheetViews>
  <sheetFormatPr baseColWidth="10" defaultColWidth="9.140625" defaultRowHeight="15" x14ac:dyDescent="0.25"/>
  <cols>
    <col min="1" max="16" width="8.7109375" style="1" customWidth="1"/>
    <col min="17" max="16384" width="9.140625" style="1"/>
  </cols>
  <sheetData>
    <row r="1" spans="1:16" ht="28.5" x14ac:dyDescent="0.25">
      <c r="A1" s="150" t="s">
        <v>176</v>
      </c>
      <c r="B1" s="150"/>
      <c r="C1" s="150"/>
      <c r="D1" s="150"/>
      <c r="E1" s="150"/>
      <c r="F1" s="150"/>
      <c r="G1" s="150"/>
      <c r="H1" s="150"/>
      <c r="I1" s="150"/>
      <c r="J1" s="150"/>
      <c r="K1" s="150"/>
      <c r="L1" s="150"/>
      <c r="M1" s="150"/>
      <c r="N1" s="150"/>
      <c r="O1" s="150"/>
      <c r="P1" s="150"/>
    </row>
    <row r="2" spans="1:16" ht="23.25" customHeight="1" thickBot="1" x14ac:dyDescent="0.3">
      <c r="A2" s="151"/>
      <c r="B2" s="151"/>
      <c r="C2" s="151"/>
      <c r="D2" s="151"/>
      <c r="E2" s="151"/>
      <c r="F2" s="151"/>
      <c r="G2" s="151"/>
      <c r="H2" s="151"/>
      <c r="I2" s="151"/>
      <c r="J2" s="151"/>
      <c r="K2" s="151"/>
      <c r="L2" s="151"/>
      <c r="M2" s="151"/>
      <c r="N2" s="151"/>
      <c r="O2" s="151"/>
      <c r="P2" s="151"/>
    </row>
    <row r="3" spans="1:16" x14ac:dyDescent="0.25">
      <c r="A3" s="2" t="s">
        <v>1</v>
      </c>
      <c r="B3" s="103" t="s">
        <v>176</v>
      </c>
      <c r="C3" s="103"/>
      <c r="D3" s="103"/>
      <c r="E3" s="103"/>
      <c r="F3" s="103"/>
      <c r="G3" s="103"/>
      <c r="H3" s="152"/>
      <c r="I3" s="101" t="s">
        <v>6</v>
      </c>
      <c r="J3" s="102"/>
      <c r="K3" s="153">
        <v>3</v>
      </c>
      <c r="L3" s="154"/>
      <c r="M3" s="101" t="s">
        <v>9</v>
      </c>
      <c r="N3" s="102"/>
      <c r="O3" s="102"/>
      <c r="P3" s="137"/>
    </row>
    <row r="4" spans="1:16" x14ac:dyDescent="0.25">
      <c r="A4" s="3" t="s">
        <v>2</v>
      </c>
      <c r="B4" s="119" t="s">
        <v>177</v>
      </c>
      <c r="C4" s="119"/>
      <c r="D4" s="119"/>
      <c r="E4" s="119"/>
      <c r="F4" s="119"/>
      <c r="G4" s="119"/>
      <c r="H4" s="141"/>
      <c r="I4" s="142" t="s">
        <v>7</v>
      </c>
      <c r="J4" s="143"/>
      <c r="K4" s="144">
        <v>28</v>
      </c>
      <c r="L4" s="145"/>
      <c r="M4" s="21" t="s">
        <v>10</v>
      </c>
      <c r="N4" s="22" t="s">
        <v>76</v>
      </c>
      <c r="O4" s="143" t="s">
        <v>11</v>
      </c>
      <c r="P4" s="146"/>
    </row>
    <row r="5" spans="1:16" ht="15.75" thickBot="1" x14ac:dyDescent="0.3">
      <c r="A5" s="4" t="s">
        <v>480</v>
      </c>
      <c r="B5" s="71" t="s">
        <v>502</v>
      </c>
      <c r="C5" s="5" t="s">
        <v>481</v>
      </c>
      <c r="D5" s="70" t="s">
        <v>503</v>
      </c>
      <c r="E5" s="74"/>
      <c r="F5" s="5" t="s">
        <v>12</v>
      </c>
      <c r="G5" s="147">
        <v>344616645</v>
      </c>
      <c r="H5" s="126"/>
      <c r="I5" s="107" t="s">
        <v>8</v>
      </c>
      <c r="J5" s="108"/>
      <c r="K5" s="148">
        <v>432</v>
      </c>
      <c r="L5" s="149"/>
      <c r="M5" s="24"/>
      <c r="N5" s="23"/>
      <c r="O5" s="148">
        <v>336</v>
      </c>
      <c r="P5" s="149"/>
    </row>
    <row r="6" spans="1:16" ht="15.75" thickBot="1" x14ac:dyDescent="0.3">
      <c r="A6" s="12"/>
      <c r="B6" s="12"/>
      <c r="C6" s="12"/>
      <c r="D6" s="12"/>
      <c r="E6" s="12"/>
      <c r="F6" s="12"/>
      <c r="G6" s="12"/>
      <c r="H6" s="12"/>
      <c r="I6" s="12"/>
      <c r="J6" s="12"/>
      <c r="K6" s="12"/>
      <c r="L6" s="12"/>
      <c r="M6" s="12"/>
      <c r="N6" s="12"/>
      <c r="O6" s="12"/>
      <c r="P6" s="12"/>
    </row>
    <row r="7" spans="1:16" ht="15.75" thickBot="1" x14ac:dyDescent="0.3">
      <c r="A7" s="138" t="s">
        <v>31</v>
      </c>
      <c r="B7" s="139"/>
      <c r="C7" s="131"/>
      <c r="D7" s="131"/>
      <c r="E7" s="131"/>
      <c r="F7" s="131"/>
      <c r="G7" s="139" t="s">
        <v>32</v>
      </c>
      <c r="H7" s="139"/>
      <c r="I7" s="140"/>
      <c r="J7" s="140"/>
      <c r="K7" s="140"/>
      <c r="L7" s="139" t="s">
        <v>33</v>
      </c>
      <c r="M7" s="139"/>
      <c r="N7" s="131"/>
      <c r="O7" s="131"/>
      <c r="P7" s="132"/>
    </row>
    <row r="8" spans="1:16" ht="15.75" thickBot="1" x14ac:dyDescent="0.3">
      <c r="A8" s="133"/>
      <c r="B8" s="133"/>
      <c r="C8" s="133"/>
      <c r="D8" s="133"/>
      <c r="E8" s="133"/>
      <c r="F8" s="133"/>
      <c r="G8" s="133"/>
      <c r="H8" s="133"/>
      <c r="I8" s="133"/>
      <c r="J8" s="133"/>
      <c r="K8" s="133"/>
      <c r="L8" s="133"/>
      <c r="M8" s="133"/>
      <c r="N8" s="133"/>
      <c r="O8" s="133"/>
      <c r="P8" s="133"/>
    </row>
    <row r="9" spans="1:16" ht="15.75" thickBot="1" x14ac:dyDescent="0.3">
      <c r="A9" s="111" t="s">
        <v>13</v>
      </c>
      <c r="B9" s="112"/>
      <c r="C9" s="112"/>
      <c r="D9" s="112"/>
      <c r="E9" s="112"/>
      <c r="F9" s="112"/>
      <c r="G9" s="112"/>
      <c r="H9" s="112"/>
      <c r="I9" s="112"/>
      <c r="J9" s="112"/>
      <c r="K9" s="112"/>
      <c r="L9" s="112"/>
      <c r="M9" s="112"/>
      <c r="N9" s="112"/>
      <c r="O9" s="112"/>
      <c r="P9" s="113"/>
    </row>
    <row r="10" spans="1:16" s="6" customFormat="1" x14ac:dyDescent="0.25">
      <c r="A10" s="134" t="s">
        <v>1</v>
      </c>
      <c r="B10" s="135"/>
      <c r="C10" s="135" t="s">
        <v>3</v>
      </c>
      <c r="D10" s="135"/>
      <c r="E10" s="135" t="s">
        <v>4</v>
      </c>
      <c r="F10" s="135"/>
      <c r="G10" s="104" t="s">
        <v>20</v>
      </c>
      <c r="H10" s="105"/>
      <c r="I10" s="104" t="s">
        <v>21</v>
      </c>
      <c r="J10" s="136"/>
      <c r="K10" s="102" t="s">
        <v>5</v>
      </c>
      <c r="L10" s="102"/>
      <c r="M10" s="102"/>
      <c r="N10" s="102"/>
      <c r="O10" s="102"/>
      <c r="P10" s="137"/>
    </row>
    <row r="11" spans="1:16" x14ac:dyDescent="0.25">
      <c r="A11" s="118" t="s">
        <v>178</v>
      </c>
      <c r="B11" s="119"/>
      <c r="C11" s="119" t="s">
        <v>179</v>
      </c>
      <c r="D11" s="119"/>
      <c r="E11" s="119" t="s">
        <v>71</v>
      </c>
      <c r="F11" s="119"/>
      <c r="G11" s="120">
        <v>344616642</v>
      </c>
      <c r="H11" s="121"/>
      <c r="I11" s="120"/>
      <c r="J11" s="122"/>
      <c r="K11" s="129" t="s">
        <v>180</v>
      </c>
      <c r="L11" s="129"/>
      <c r="M11" s="129"/>
      <c r="N11" s="129"/>
      <c r="O11" s="129"/>
      <c r="P11" s="130"/>
    </row>
    <row r="12" spans="1:16" x14ac:dyDescent="0.25">
      <c r="A12" s="118"/>
      <c r="B12" s="119"/>
      <c r="C12" s="119"/>
      <c r="D12" s="119"/>
      <c r="E12" s="119"/>
      <c r="F12" s="119"/>
      <c r="G12" s="120"/>
      <c r="H12" s="121"/>
      <c r="I12" s="120"/>
      <c r="J12" s="122"/>
      <c r="K12" s="123"/>
      <c r="L12" s="123"/>
      <c r="M12" s="123"/>
      <c r="N12" s="123"/>
      <c r="O12" s="123"/>
      <c r="P12" s="124"/>
    </row>
    <row r="13" spans="1:16" x14ac:dyDescent="0.25">
      <c r="A13" s="118"/>
      <c r="B13" s="119"/>
      <c r="C13" s="119"/>
      <c r="D13" s="119"/>
      <c r="E13" s="119"/>
      <c r="F13" s="119"/>
      <c r="G13" s="120"/>
      <c r="H13" s="121"/>
      <c r="I13" s="120"/>
      <c r="J13" s="122"/>
      <c r="K13" s="123"/>
      <c r="L13" s="123"/>
      <c r="M13" s="123"/>
      <c r="N13" s="123"/>
      <c r="O13" s="123"/>
      <c r="P13" s="124"/>
    </row>
    <row r="14" spans="1:16" x14ac:dyDescent="0.25">
      <c r="A14" s="118"/>
      <c r="B14" s="119"/>
      <c r="C14" s="119"/>
      <c r="D14" s="119"/>
      <c r="E14" s="119"/>
      <c r="F14" s="119"/>
      <c r="G14" s="120"/>
      <c r="H14" s="121"/>
      <c r="I14" s="120"/>
      <c r="J14" s="122"/>
      <c r="K14" s="123"/>
      <c r="L14" s="123"/>
      <c r="M14" s="123"/>
      <c r="N14" s="123"/>
      <c r="O14" s="123"/>
      <c r="P14" s="124"/>
    </row>
    <row r="15" spans="1:16" x14ac:dyDescent="0.25">
      <c r="A15" s="118"/>
      <c r="B15" s="119"/>
      <c r="C15" s="119"/>
      <c r="D15" s="119"/>
      <c r="E15" s="119"/>
      <c r="F15" s="119"/>
      <c r="G15" s="120"/>
      <c r="H15" s="121"/>
      <c r="I15" s="120"/>
      <c r="J15" s="122"/>
      <c r="K15" s="123"/>
      <c r="L15" s="123"/>
      <c r="M15" s="123"/>
      <c r="N15" s="123"/>
      <c r="O15" s="123"/>
      <c r="P15" s="124"/>
    </row>
    <row r="16" spans="1:16" ht="15.75" thickBot="1" x14ac:dyDescent="0.3">
      <c r="A16" s="125"/>
      <c r="B16" s="109"/>
      <c r="C16" s="109"/>
      <c r="D16" s="109"/>
      <c r="E16" s="109"/>
      <c r="F16" s="109"/>
      <c r="G16" s="126"/>
      <c r="H16" s="127"/>
      <c r="I16" s="126"/>
      <c r="J16" s="128"/>
      <c r="K16" s="116"/>
      <c r="L16" s="116"/>
      <c r="M16" s="116"/>
      <c r="N16" s="116"/>
      <c r="O16" s="116"/>
      <c r="P16" s="117"/>
    </row>
    <row r="17" spans="1:17" ht="15.75" thickBot="1" x14ac:dyDescent="0.3">
      <c r="A17" s="100"/>
      <c r="B17" s="100"/>
      <c r="C17" s="100"/>
      <c r="D17" s="100"/>
      <c r="E17" s="100"/>
      <c r="F17" s="100"/>
      <c r="G17" s="100"/>
      <c r="H17" s="100"/>
      <c r="I17" s="100"/>
      <c r="J17" s="100"/>
      <c r="K17" s="100"/>
      <c r="L17" s="100"/>
      <c r="M17" s="100"/>
      <c r="N17" s="100"/>
      <c r="O17" s="100"/>
      <c r="P17" s="100"/>
    </row>
    <row r="18" spans="1:17" x14ac:dyDescent="0.25">
      <c r="A18" s="101" t="s">
        <v>23</v>
      </c>
      <c r="B18" s="102"/>
      <c r="C18" s="102"/>
      <c r="D18" s="103"/>
      <c r="E18" s="103"/>
      <c r="F18" s="103"/>
      <c r="G18" s="103"/>
      <c r="H18" s="103"/>
      <c r="I18" s="103"/>
      <c r="J18" s="104" t="s">
        <v>25</v>
      </c>
      <c r="K18" s="105"/>
      <c r="L18" s="103"/>
      <c r="M18" s="103"/>
      <c r="N18" s="103"/>
      <c r="O18" s="103"/>
      <c r="P18" s="106"/>
    </row>
    <row r="19" spans="1:17" ht="15.75" thickBot="1" x14ac:dyDescent="0.3">
      <c r="A19" s="107" t="s">
        <v>24</v>
      </c>
      <c r="B19" s="108"/>
      <c r="C19" s="108"/>
      <c r="D19" s="109"/>
      <c r="E19" s="109"/>
      <c r="F19" s="109"/>
      <c r="G19" s="109"/>
      <c r="H19" s="109"/>
      <c r="I19" s="109"/>
      <c r="J19" s="108" t="s">
        <v>26</v>
      </c>
      <c r="K19" s="108"/>
      <c r="L19" s="109"/>
      <c r="M19" s="109"/>
      <c r="N19" s="109"/>
      <c r="O19" s="109"/>
      <c r="P19" s="110"/>
    </row>
    <row r="20" spans="1:17" ht="15.75" thickBot="1" x14ac:dyDescent="0.3">
      <c r="A20" s="100"/>
      <c r="B20" s="100"/>
      <c r="C20" s="100"/>
      <c r="D20" s="100"/>
      <c r="E20" s="100"/>
      <c r="F20" s="100"/>
      <c r="G20" s="100"/>
      <c r="H20" s="100"/>
      <c r="I20" s="100"/>
      <c r="J20" s="100"/>
      <c r="K20" s="100"/>
      <c r="L20" s="100"/>
      <c r="M20" s="100"/>
      <c r="N20" s="100"/>
      <c r="O20" s="100"/>
      <c r="P20" s="100"/>
    </row>
    <row r="21" spans="1:17" ht="15.75" thickBot="1" x14ac:dyDescent="0.3">
      <c r="A21" s="111" t="s">
        <v>27</v>
      </c>
      <c r="B21" s="112"/>
      <c r="C21" s="112" t="s">
        <v>28</v>
      </c>
      <c r="D21" s="112"/>
      <c r="E21" s="112"/>
      <c r="F21" s="112"/>
      <c r="G21" s="112"/>
      <c r="H21" s="112"/>
      <c r="I21" s="112"/>
      <c r="J21" s="112"/>
      <c r="K21" s="112"/>
      <c r="L21" s="112"/>
      <c r="M21" s="112"/>
      <c r="N21" s="112"/>
      <c r="O21" s="112"/>
      <c r="P21" s="113"/>
      <c r="Q21" s="7"/>
    </row>
    <row r="22" spans="1:17" ht="30" customHeight="1" x14ac:dyDescent="0.25">
      <c r="A22" s="114">
        <v>42116</v>
      </c>
      <c r="B22" s="115"/>
      <c r="C22" s="91" t="s">
        <v>181</v>
      </c>
      <c r="D22" s="91"/>
      <c r="E22" s="91"/>
      <c r="F22" s="91"/>
      <c r="G22" s="91"/>
      <c r="H22" s="91"/>
      <c r="I22" s="91"/>
      <c r="J22" s="91"/>
      <c r="K22" s="91"/>
      <c r="L22" s="91"/>
      <c r="M22" s="91"/>
      <c r="N22" s="91"/>
      <c r="O22" s="91"/>
      <c r="P22" s="92"/>
      <c r="Q22" s="7"/>
    </row>
    <row r="23" spans="1:17" ht="30" customHeight="1" x14ac:dyDescent="0.25">
      <c r="A23" s="89"/>
      <c r="B23" s="90"/>
      <c r="C23" s="97"/>
      <c r="D23" s="98"/>
      <c r="E23" s="98"/>
      <c r="F23" s="98"/>
      <c r="G23" s="98"/>
      <c r="H23" s="98"/>
      <c r="I23" s="98"/>
      <c r="J23" s="98"/>
      <c r="K23" s="98"/>
      <c r="L23" s="98"/>
      <c r="M23" s="98"/>
      <c r="N23" s="98"/>
      <c r="O23" s="98"/>
      <c r="P23" s="99"/>
      <c r="Q23" s="7"/>
    </row>
    <row r="24" spans="1:17" ht="30" customHeight="1" x14ac:dyDescent="0.25">
      <c r="A24" s="89"/>
      <c r="B24" s="90"/>
      <c r="C24" s="91"/>
      <c r="D24" s="91"/>
      <c r="E24" s="91"/>
      <c r="F24" s="91"/>
      <c r="G24" s="91"/>
      <c r="H24" s="91"/>
      <c r="I24" s="91"/>
      <c r="J24" s="91"/>
      <c r="K24" s="91"/>
      <c r="L24" s="91"/>
      <c r="M24" s="91"/>
      <c r="N24" s="91"/>
      <c r="O24" s="91"/>
      <c r="P24" s="92"/>
      <c r="Q24" s="7"/>
    </row>
    <row r="25" spans="1:17" ht="30" customHeight="1" x14ac:dyDescent="0.25">
      <c r="A25" s="89"/>
      <c r="B25" s="90"/>
      <c r="C25" s="91"/>
      <c r="D25" s="91"/>
      <c r="E25" s="91"/>
      <c r="F25" s="91"/>
      <c r="G25" s="91"/>
      <c r="H25" s="91"/>
      <c r="I25" s="91"/>
      <c r="J25" s="91"/>
      <c r="K25" s="91"/>
      <c r="L25" s="91"/>
      <c r="M25" s="91"/>
      <c r="N25" s="91"/>
      <c r="O25" s="91"/>
      <c r="P25" s="92"/>
    </row>
    <row r="26" spans="1:17" ht="30" customHeight="1" thickBot="1" x14ac:dyDescent="0.3">
      <c r="A26" s="93"/>
      <c r="B26" s="94"/>
      <c r="C26" s="95"/>
      <c r="D26" s="95"/>
      <c r="E26" s="95"/>
      <c r="F26" s="95"/>
      <c r="G26" s="95"/>
      <c r="H26" s="95"/>
      <c r="I26" s="95"/>
      <c r="J26" s="95"/>
      <c r="K26" s="95"/>
      <c r="L26" s="95"/>
      <c r="M26" s="95"/>
      <c r="N26" s="95"/>
      <c r="O26" s="95"/>
      <c r="P26" s="96"/>
    </row>
  </sheetData>
  <mergeCells count="86">
    <mergeCell ref="A24:B24"/>
    <mergeCell ref="C24:P24"/>
    <mergeCell ref="A25:B25"/>
    <mergeCell ref="C25:P25"/>
    <mergeCell ref="A26:B26"/>
    <mergeCell ref="C26:P26"/>
    <mergeCell ref="A23:B23"/>
    <mergeCell ref="C23:P23"/>
    <mergeCell ref="A17:P17"/>
    <mergeCell ref="A18:C18"/>
    <mergeCell ref="D18:I18"/>
    <mergeCell ref="J18:K18"/>
    <mergeCell ref="L18:P18"/>
    <mergeCell ref="A19:C19"/>
    <mergeCell ref="D19:I19"/>
    <mergeCell ref="J19:K19"/>
    <mergeCell ref="L19:P19"/>
    <mergeCell ref="A20:P20"/>
    <mergeCell ref="A21:B21"/>
    <mergeCell ref="C21:P21"/>
    <mergeCell ref="A22:B22"/>
    <mergeCell ref="C22:P22"/>
    <mergeCell ref="K16:P16"/>
    <mergeCell ref="A15:B15"/>
    <mergeCell ref="C15:D15"/>
    <mergeCell ref="E15:F15"/>
    <mergeCell ref="G15:H15"/>
    <mergeCell ref="I15:J15"/>
    <mergeCell ref="K15:P15"/>
    <mergeCell ref="A16:B16"/>
    <mergeCell ref="C16:D16"/>
    <mergeCell ref="E16:F16"/>
    <mergeCell ref="G16:H16"/>
    <mergeCell ref="I16:J16"/>
    <mergeCell ref="K14:P14"/>
    <mergeCell ref="A13:B13"/>
    <mergeCell ref="C13:D13"/>
    <mergeCell ref="E13:F13"/>
    <mergeCell ref="G13:H13"/>
    <mergeCell ref="I13:J13"/>
    <mergeCell ref="K13:P13"/>
    <mergeCell ref="A14:B14"/>
    <mergeCell ref="C14:D14"/>
    <mergeCell ref="E14:F14"/>
    <mergeCell ref="G14:H14"/>
    <mergeCell ref="I14:J14"/>
    <mergeCell ref="K12:P12"/>
    <mergeCell ref="A11:B11"/>
    <mergeCell ref="C11:D11"/>
    <mergeCell ref="E11:F11"/>
    <mergeCell ref="G11:H11"/>
    <mergeCell ref="I11:J11"/>
    <mergeCell ref="K11:P11"/>
    <mergeCell ref="A12:B12"/>
    <mergeCell ref="C12:D12"/>
    <mergeCell ref="E12:F12"/>
    <mergeCell ref="G12:H12"/>
    <mergeCell ref="I12:J12"/>
    <mergeCell ref="A8:P8"/>
    <mergeCell ref="A9:P9"/>
    <mergeCell ref="A10:B10"/>
    <mergeCell ref="C10:D10"/>
    <mergeCell ref="E10:F10"/>
    <mergeCell ref="G10:H10"/>
    <mergeCell ref="I10:J10"/>
    <mergeCell ref="K10:P10"/>
    <mergeCell ref="N7:P7"/>
    <mergeCell ref="B4:H4"/>
    <mergeCell ref="I4:J4"/>
    <mergeCell ref="K4:L4"/>
    <mergeCell ref="O4:P4"/>
    <mergeCell ref="G5:H5"/>
    <mergeCell ref="I5:J5"/>
    <mergeCell ref="K5:L5"/>
    <mergeCell ref="O5:P5"/>
    <mergeCell ref="A7:B7"/>
    <mergeCell ref="C7:F7"/>
    <mergeCell ref="G7:H7"/>
    <mergeCell ref="I7:K7"/>
    <mergeCell ref="L7:M7"/>
    <mergeCell ref="A1:P1"/>
    <mergeCell ref="A2:P2"/>
    <mergeCell ref="B3:H3"/>
    <mergeCell ref="I3:J3"/>
    <mergeCell ref="K3:L3"/>
    <mergeCell ref="M3:P3"/>
  </mergeCells>
  <hyperlinks>
    <hyperlink ref="K11" r:id="rId1"/>
  </hyperlinks>
  <pageMargins left="0.25" right="0.25" top="0.75" bottom="0.75" header="0.3" footer="0.3"/>
  <pageSetup paperSize="9" orientation="landscape" horizontalDpi="0" verticalDpi="0"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0"/>
  <dimension ref="A1:Q26"/>
  <sheetViews>
    <sheetView tabSelected="1" zoomScale="115" zoomScaleNormal="115" workbookViewId="0">
      <selection activeCell="M5" sqref="M5:N5"/>
    </sheetView>
  </sheetViews>
  <sheetFormatPr baseColWidth="10" defaultColWidth="9.140625" defaultRowHeight="15" x14ac:dyDescent="0.25"/>
  <cols>
    <col min="1" max="16" width="8.7109375" style="1" customWidth="1"/>
    <col min="17" max="16384" width="9.140625" style="1"/>
  </cols>
  <sheetData>
    <row r="1" spans="1:16" ht="28.5" x14ac:dyDescent="0.25">
      <c r="A1" s="150" t="s">
        <v>164</v>
      </c>
      <c r="B1" s="150"/>
      <c r="C1" s="150"/>
      <c r="D1" s="150"/>
      <c r="E1" s="150"/>
      <c r="F1" s="150"/>
      <c r="G1" s="150"/>
      <c r="H1" s="150"/>
      <c r="I1" s="150"/>
      <c r="J1" s="150"/>
      <c r="K1" s="150"/>
      <c r="L1" s="150"/>
      <c r="M1" s="150"/>
      <c r="N1" s="150"/>
      <c r="O1" s="150"/>
      <c r="P1" s="150"/>
    </row>
    <row r="2" spans="1:16" ht="23.25" customHeight="1" thickBot="1" x14ac:dyDescent="0.3">
      <c r="A2" s="151"/>
      <c r="B2" s="151"/>
      <c r="C2" s="151"/>
      <c r="D2" s="151"/>
      <c r="E2" s="151"/>
      <c r="F2" s="151"/>
      <c r="G2" s="151"/>
      <c r="H2" s="151"/>
      <c r="I2" s="151"/>
      <c r="J2" s="151"/>
      <c r="K2" s="151"/>
      <c r="L2" s="151"/>
      <c r="M2" s="151"/>
      <c r="N2" s="151"/>
      <c r="O2" s="151"/>
      <c r="P2" s="151"/>
    </row>
    <row r="3" spans="1:16" x14ac:dyDescent="0.25">
      <c r="A3" s="2" t="s">
        <v>1</v>
      </c>
      <c r="B3" s="103" t="s">
        <v>164</v>
      </c>
      <c r="C3" s="103"/>
      <c r="D3" s="103"/>
      <c r="E3" s="103"/>
      <c r="F3" s="103"/>
      <c r="G3" s="103"/>
      <c r="H3" s="152"/>
      <c r="I3" s="101" t="s">
        <v>6</v>
      </c>
      <c r="J3" s="102"/>
      <c r="K3" s="153">
        <v>3</v>
      </c>
      <c r="L3" s="154"/>
      <c r="M3" s="101" t="s">
        <v>9</v>
      </c>
      <c r="N3" s="102"/>
      <c r="O3" s="102"/>
      <c r="P3" s="137"/>
    </row>
    <row r="4" spans="1:16" x14ac:dyDescent="0.25">
      <c r="A4" s="3" t="s">
        <v>2</v>
      </c>
      <c r="B4" s="119" t="s">
        <v>165</v>
      </c>
      <c r="C4" s="119"/>
      <c r="D4" s="119"/>
      <c r="E4" s="119"/>
      <c r="F4" s="119"/>
      <c r="G4" s="119"/>
      <c r="H4" s="141"/>
      <c r="I4" s="142" t="s">
        <v>7</v>
      </c>
      <c r="J4" s="143"/>
      <c r="K4" s="144"/>
      <c r="L4" s="145"/>
      <c r="M4" s="21" t="s">
        <v>10</v>
      </c>
      <c r="N4" s="22" t="s">
        <v>76</v>
      </c>
      <c r="O4" s="143" t="s">
        <v>11</v>
      </c>
      <c r="P4" s="146"/>
    </row>
    <row r="5" spans="1:16" ht="15.75" thickBot="1" x14ac:dyDescent="0.3">
      <c r="A5" s="75" t="s">
        <v>480</v>
      </c>
      <c r="B5" s="76" t="s">
        <v>504</v>
      </c>
      <c r="C5" s="77" t="s">
        <v>481</v>
      </c>
      <c r="D5" s="78" t="s">
        <v>505</v>
      </c>
      <c r="E5" s="79"/>
      <c r="F5" s="5" t="s">
        <v>12</v>
      </c>
      <c r="G5" s="147">
        <v>145175000</v>
      </c>
      <c r="H5" s="126"/>
      <c r="I5" s="107" t="s">
        <v>8</v>
      </c>
      <c r="J5" s="108"/>
      <c r="K5" s="148">
        <v>500</v>
      </c>
      <c r="L5" s="149"/>
      <c r="M5" s="24"/>
      <c r="N5" s="23"/>
      <c r="O5" s="148" t="s">
        <v>166</v>
      </c>
      <c r="P5" s="149"/>
    </row>
    <row r="6" spans="1:16" ht="15.75" thickBot="1" x14ac:dyDescent="0.3">
      <c r="A6" s="12"/>
      <c r="B6" s="12"/>
      <c r="C6" s="12"/>
      <c r="D6" s="12"/>
      <c r="E6" s="12"/>
      <c r="F6" s="12"/>
      <c r="G6" s="12"/>
      <c r="H6" s="12"/>
      <c r="I6" s="12"/>
      <c r="J6" s="12"/>
      <c r="K6" s="12"/>
      <c r="L6" s="12"/>
      <c r="M6" s="12"/>
      <c r="N6" s="12"/>
      <c r="O6" s="12"/>
      <c r="P6" s="12"/>
    </row>
    <row r="7" spans="1:16" ht="15.75" thickBot="1" x14ac:dyDescent="0.3">
      <c r="A7" s="138" t="s">
        <v>31</v>
      </c>
      <c r="B7" s="139"/>
      <c r="C7" s="131"/>
      <c r="D7" s="131"/>
      <c r="E7" s="131"/>
      <c r="F7" s="131"/>
      <c r="G7" s="139" t="s">
        <v>32</v>
      </c>
      <c r="H7" s="139"/>
      <c r="I7" s="140"/>
      <c r="J7" s="140"/>
      <c r="K7" s="140"/>
      <c r="L7" s="139" t="s">
        <v>33</v>
      </c>
      <c r="M7" s="139"/>
      <c r="N7" s="131"/>
      <c r="O7" s="131"/>
      <c r="P7" s="132"/>
    </row>
    <row r="8" spans="1:16" ht="15.75" thickBot="1" x14ac:dyDescent="0.3">
      <c r="A8" s="133"/>
      <c r="B8" s="133"/>
      <c r="C8" s="133"/>
      <c r="D8" s="133"/>
      <c r="E8" s="133"/>
      <c r="F8" s="133"/>
      <c r="G8" s="133"/>
      <c r="H8" s="133"/>
      <c r="I8" s="133"/>
      <c r="J8" s="133"/>
      <c r="K8" s="133"/>
      <c r="L8" s="133"/>
      <c r="M8" s="133"/>
      <c r="N8" s="133"/>
      <c r="O8" s="133"/>
      <c r="P8" s="133"/>
    </row>
    <row r="9" spans="1:16" ht="15.75" thickBot="1" x14ac:dyDescent="0.3">
      <c r="A9" s="111" t="s">
        <v>13</v>
      </c>
      <c r="B9" s="112"/>
      <c r="C9" s="112"/>
      <c r="D9" s="112"/>
      <c r="E9" s="112"/>
      <c r="F9" s="112"/>
      <c r="G9" s="112"/>
      <c r="H9" s="112"/>
      <c r="I9" s="112"/>
      <c r="J9" s="112"/>
      <c r="K9" s="112"/>
      <c r="L9" s="112"/>
      <c r="M9" s="112"/>
      <c r="N9" s="112"/>
      <c r="O9" s="112"/>
      <c r="P9" s="113"/>
    </row>
    <row r="10" spans="1:16" s="6" customFormat="1" x14ac:dyDescent="0.25">
      <c r="A10" s="134" t="s">
        <v>1</v>
      </c>
      <c r="B10" s="135"/>
      <c r="C10" s="135" t="s">
        <v>3</v>
      </c>
      <c r="D10" s="135"/>
      <c r="E10" s="135" t="s">
        <v>4</v>
      </c>
      <c r="F10" s="135"/>
      <c r="G10" s="104" t="s">
        <v>20</v>
      </c>
      <c r="H10" s="105"/>
      <c r="I10" s="104" t="s">
        <v>21</v>
      </c>
      <c r="J10" s="136"/>
      <c r="K10" s="102" t="s">
        <v>5</v>
      </c>
      <c r="L10" s="102"/>
      <c r="M10" s="102"/>
      <c r="N10" s="102"/>
      <c r="O10" s="102"/>
      <c r="P10" s="137"/>
    </row>
    <row r="11" spans="1:16" x14ac:dyDescent="0.25">
      <c r="A11" s="118" t="s">
        <v>167</v>
      </c>
      <c r="B11" s="119"/>
      <c r="C11" s="119" t="s">
        <v>168</v>
      </c>
      <c r="D11" s="119"/>
      <c r="E11" s="119" t="s">
        <v>121</v>
      </c>
      <c r="F11" s="119"/>
      <c r="G11" s="120">
        <v>145175431</v>
      </c>
      <c r="H11" s="121"/>
      <c r="I11" s="120"/>
      <c r="J11" s="122"/>
      <c r="K11" s="129" t="s">
        <v>169</v>
      </c>
      <c r="L11" s="129"/>
      <c r="M11" s="129"/>
      <c r="N11" s="129"/>
      <c r="O11" s="129"/>
      <c r="P11" s="130"/>
    </row>
    <row r="12" spans="1:16" x14ac:dyDescent="0.25">
      <c r="A12" s="118" t="s">
        <v>170</v>
      </c>
      <c r="B12" s="119"/>
      <c r="C12" s="119"/>
      <c r="D12" s="119"/>
      <c r="E12" s="119" t="s">
        <v>121</v>
      </c>
      <c r="F12" s="119"/>
      <c r="G12" s="120">
        <v>157022521</v>
      </c>
      <c r="H12" s="121"/>
      <c r="I12" s="120"/>
      <c r="J12" s="122"/>
      <c r="K12" s="123"/>
      <c r="L12" s="123"/>
      <c r="M12" s="123"/>
      <c r="N12" s="123"/>
      <c r="O12" s="123"/>
      <c r="P12" s="124"/>
    </row>
    <row r="13" spans="1:16" x14ac:dyDescent="0.25">
      <c r="A13" s="118" t="s">
        <v>171</v>
      </c>
      <c r="B13" s="119"/>
      <c r="C13" s="119" t="s">
        <v>172</v>
      </c>
      <c r="D13" s="119"/>
      <c r="E13" s="119" t="s">
        <v>173</v>
      </c>
      <c r="F13" s="119"/>
      <c r="G13" s="120">
        <v>145175436</v>
      </c>
      <c r="H13" s="121"/>
      <c r="I13" s="120"/>
      <c r="J13" s="122"/>
      <c r="K13" s="158" t="s">
        <v>174</v>
      </c>
      <c r="L13" s="123"/>
      <c r="M13" s="123"/>
      <c r="N13" s="123"/>
      <c r="O13" s="123"/>
      <c r="P13" s="124"/>
    </row>
    <row r="14" spans="1:16" x14ac:dyDescent="0.25">
      <c r="A14" s="118"/>
      <c r="B14" s="119"/>
      <c r="C14" s="119"/>
      <c r="D14" s="119"/>
      <c r="E14" s="119"/>
      <c r="F14" s="119"/>
      <c r="G14" s="120"/>
      <c r="H14" s="121"/>
      <c r="I14" s="120"/>
      <c r="J14" s="122"/>
      <c r="K14" s="123"/>
      <c r="L14" s="123"/>
      <c r="M14" s="123"/>
      <c r="N14" s="123"/>
      <c r="O14" s="123"/>
      <c r="P14" s="124"/>
    </row>
    <row r="15" spans="1:16" x14ac:dyDescent="0.25">
      <c r="A15" s="118"/>
      <c r="B15" s="119"/>
      <c r="C15" s="119"/>
      <c r="D15" s="119"/>
      <c r="E15" s="119"/>
      <c r="F15" s="119"/>
      <c r="G15" s="120"/>
      <c r="H15" s="121"/>
      <c r="I15" s="120"/>
      <c r="J15" s="122"/>
      <c r="K15" s="123"/>
      <c r="L15" s="123"/>
      <c r="M15" s="123"/>
      <c r="N15" s="123"/>
      <c r="O15" s="123"/>
      <c r="P15" s="124"/>
    </row>
    <row r="16" spans="1:16" ht="15.75" thickBot="1" x14ac:dyDescent="0.3">
      <c r="A16" s="125"/>
      <c r="B16" s="109"/>
      <c r="C16" s="109"/>
      <c r="D16" s="109"/>
      <c r="E16" s="109"/>
      <c r="F16" s="109"/>
      <c r="G16" s="126"/>
      <c r="H16" s="127"/>
      <c r="I16" s="126"/>
      <c r="J16" s="128"/>
      <c r="K16" s="116"/>
      <c r="L16" s="116"/>
      <c r="M16" s="116"/>
      <c r="N16" s="116"/>
      <c r="O16" s="116"/>
      <c r="P16" s="117"/>
    </row>
    <row r="17" spans="1:17" ht="15.75" thickBot="1" x14ac:dyDescent="0.3">
      <c r="A17" s="100"/>
      <c r="B17" s="100"/>
      <c r="C17" s="100"/>
      <c r="D17" s="100"/>
      <c r="E17" s="100"/>
      <c r="F17" s="100"/>
      <c r="G17" s="100"/>
      <c r="H17" s="100"/>
      <c r="I17" s="100"/>
      <c r="J17" s="100"/>
      <c r="K17" s="100"/>
      <c r="L17" s="100"/>
      <c r="M17" s="100"/>
      <c r="N17" s="100"/>
      <c r="O17" s="100"/>
      <c r="P17" s="100"/>
    </row>
    <row r="18" spans="1:17" x14ac:dyDescent="0.25">
      <c r="A18" s="101" t="s">
        <v>23</v>
      </c>
      <c r="B18" s="102"/>
      <c r="C18" s="102"/>
      <c r="D18" s="103"/>
      <c r="E18" s="103"/>
      <c r="F18" s="103"/>
      <c r="G18" s="103"/>
      <c r="H18" s="103"/>
      <c r="I18" s="103"/>
      <c r="J18" s="104" t="s">
        <v>25</v>
      </c>
      <c r="K18" s="105"/>
      <c r="L18" s="103"/>
      <c r="M18" s="103"/>
      <c r="N18" s="103"/>
      <c r="O18" s="103"/>
      <c r="P18" s="106"/>
    </row>
    <row r="19" spans="1:17" ht="15.75" thickBot="1" x14ac:dyDescent="0.3">
      <c r="A19" s="107" t="s">
        <v>24</v>
      </c>
      <c r="B19" s="108"/>
      <c r="C19" s="108"/>
      <c r="D19" s="109"/>
      <c r="E19" s="109"/>
      <c r="F19" s="109"/>
      <c r="G19" s="109"/>
      <c r="H19" s="109"/>
      <c r="I19" s="109"/>
      <c r="J19" s="108" t="s">
        <v>26</v>
      </c>
      <c r="K19" s="108"/>
      <c r="L19" s="109"/>
      <c r="M19" s="109"/>
      <c r="N19" s="109"/>
      <c r="O19" s="109"/>
      <c r="P19" s="110"/>
    </row>
    <row r="20" spans="1:17" ht="15.75" thickBot="1" x14ac:dyDescent="0.3">
      <c r="A20" s="100"/>
      <c r="B20" s="100"/>
      <c r="C20" s="100"/>
      <c r="D20" s="100"/>
      <c r="E20" s="100"/>
      <c r="F20" s="100"/>
      <c r="G20" s="100"/>
      <c r="H20" s="100"/>
      <c r="I20" s="100"/>
      <c r="J20" s="100"/>
      <c r="K20" s="100"/>
      <c r="L20" s="100"/>
      <c r="M20" s="100"/>
      <c r="N20" s="100"/>
      <c r="O20" s="100"/>
      <c r="P20" s="100"/>
    </row>
    <row r="21" spans="1:17" ht="15.75" thickBot="1" x14ac:dyDescent="0.3">
      <c r="A21" s="111" t="s">
        <v>27</v>
      </c>
      <c r="B21" s="112"/>
      <c r="C21" s="112" t="s">
        <v>28</v>
      </c>
      <c r="D21" s="112"/>
      <c r="E21" s="112"/>
      <c r="F21" s="112"/>
      <c r="G21" s="112"/>
      <c r="H21" s="112"/>
      <c r="I21" s="112"/>
      <c r="J21" s="112"/>
      <c r="K21" s="112"/>
      <c r="L21" s="112"/>
      <c r="M21" s="112"/>
      <c r="N21" s="112"/>
      <c r="O21" s="112"/>
      <c r="P21" s="113"/>
      <c r="Q21" s="7"/>
    </row>
    <row r="22" spans="1:17" ht="30" customHeight="1" x14ac:dyDescent="0.25">
      <c r="A22" s="114">
        <v>42116</v>
      </c>
      <c r="B22" s="115"/>
      <c r="C22" s="91" t="s">
        <v>175</v>
      </c>
      <c r="D22" s="91"/>
      <c r="E22" s="91"/>
      <c r="F22" s="91"/>
      <c r="G22" s="91"/>
      <c r="H22" s="91"/>
      <c r="I22" s="91"/>
      <c r="J22" s="91"/>
      <c r="K22" s="91"/>
      <c r="L22" s="91"/>
      <c r="M22" s="91"/>
      <c r="N22" s="91"/>
      <c r="O22" s="91"/>
      <c r="P22" s="92"/>
      <c r="Q22" s="7"/>
    </row>
    <row r="23" spans="1:17" ht="30" customHeight="1" x14ac:dyDescent="0.25">
      <c r="A23" s="89"/>
      <c r="B23" s="90"/>
      <c r="C23" s="97"/>
      <c r="D23" s="98"/>
      <c r="E23" s="98"/>
      <c r="F23" s="98"/>
      <c r="G23" s="98"/>
      <c r="H23" s="98"/>
      <c r="I23" s="98"/>
      <c r="J23" s="98"/>
      <c r="K23" s="98"/>
      <c r="L23" s="98"/>
      <c r="M23" s="98"/>
      <c r="N23" s="98"/>
      <c r="O23" s="98"/>
      <c r="P23" s="99"/>
      <c r="Q23" s="7"/>
    </row>
    <row r="24" spans="1:17" ht="30" customHeight="1" x14ac:dyDescent="0.25">
      <c r="A24" s="89"/>
      <c r="B24" s="90"/>
      <c r="C24" s="91"/>
      <c r="D24" s="91"/>
      <c r="E24" s="91"/>
      <c r="F24" s="91"/>
      <c r="G24" s="91"/>
      <c r="H24" s="91"/>
      <c r="I24" s="91"/>
      <c r="J24" s="91"/>
      <c r="K24" s="91"/>
      <c r="L24" s="91"/>
      <c r="M24" s="91"/>
      <c r="N24" s="91"/>
      <c r="O24" s="91"/>
      <c r="P24" s="92"/>
      <c r="Q24" s="7"/>
    </row>
    <row r="25" spans="1:17" ht="30" customHeight="1" x14ac:dyDescent="0.25">
      <c r="A25" s="89"/>
      <c r="B25" s="90"/>
      <c r="C25" s="91"/>
      <c r="D25" s="91"/>
      <c r="E25" s="91"/>
      <c r="F25" s="91"/>
      <c r="G25" s="91"/>
      <c r="H25" s="91"/>
      <c r="I25" s="91"/>
      <c r="J25" s="91"/>
      <c r="K25" s="91"/>
      <c r="L25" s="91"/>
      <c r="M25" s="91"/>
      <c r="N25" s="91"/>
      <c r="O25" s="91"/>
      <c r="P25" s="92"/>
    </row>
    <row r="26" spans="1:17" ht="30" customHeight="1" thickBot="1" x14ac:dyDescent="0.3">
      <c r="A26" s="93"/>
      <c r="B26" s="94"/>
      <c r="C26" s="95"/>
      <c r="D26" s="95"/>
      <c r="E26" s="95"/>
      <c r="F26" s="95"/>
      <c r="G26" s="95"/>
      <c r="H26" s="95"/>
      <c r="I26" s="95"/>
      <c r="J26" s="95"/>
      <c r="K26" s="95"/>
      <c r="L26" s="95"/>
      <c r="M26" s="95"/>
      <c r="N26" s="95"/>
      <c r="O26" s="95"/>
      <c r="P26" s="96"/>
    </row>
  </sheetData>
  <mergeCells count="86">
    <mergeCell ref="A24:B24"/>
    <mergeCell ref="C24:P24"/>
    <mergeCell ref="A25:B25"/>
    <mergeCell ref="C25:P25"/>
    <mergeCell ref="A26:B26"/>
    <mergeCell ref="C26:P26"/>
    <mergeCell ref="A23:B23"/>
    <mergeCell ref="C23:P23"/>
    <mergeCell ref="A17:P17"/>
    <mergeCell ref="A18:C18"/>
    <mergeCell ref="D18:I18"/>
    <mergeCell ref="J18:K18"/>
    <mergeCell ref="L18:P18"/>
    <mergeCell ref="A19:C19"/>
    <mergeCell ref="D19:I19"/>
    <mergeCell ref="J19:K19"/>
    <mergeCell ref="L19:P19"/>
    <mergeCell ref="A20:P20"/>
    <mergeCell ref="A21:B21"/>
    <mergeCell ref="C21:P21"/>
    <mergeCell ref="A22:B22"/>
    <mergeCell ref="C22:P22"/>
    <mergeCell ref="K16:P16"/>
    <mergeCell ref="A15:B15"/>
    <mergeCell ref="C15:D15"/>
    <mergeCell ref="E15:F15"/>
    <mergeCell ref="G15:H15"/>
    <mergeCell ref="I15:J15"/>
    <mergeCell ref="K15:P15"/>
    <mergeCell ref="A16:B16"/>
    <mergeCell ref="C16:D16"/>
    <mergeCell ref="E16:F16"/>
    <mergeCell ref="G16:H16"/>
    <mergeCell ref="I16:J16"/>
    <mergeCell ref="K14:P14"/>
    <mergeCell ref="A13:B13"/>
    <mergeCell ref="C13:D13"/>
    <mergeCell ref="E13:F13"/>
    <mergeCell ref="G13:H13"/>
    <mergeCell ref="I13:J13"/>
    <mergeCell ref="K13:P13"/>
    <mergeCell ref="A14:B14"/>
    <mergeCell ref="C14:D14"/>
    <mergeCell ref="E14:F14"/>
    <mergeCell ref="G14:H14"/>
    <mergeCell ref="I14:J14"/>
    <mergeCell ref="K12:P12"/>
    <mergeCell ref="A11:B11"/>
    <mergeCell ref="C11:D11"/>
    <mergeCell ref="E11:F11"/>
    <mergeCell ref="G11:H11"/>
    <mergeCell ref="I11:J11"/>
    <mergeCell ref="K11:P11"/>
    <mergeCell ref="A12:B12"/>
    <mergeCell ref="C12:D12"/>
    <mergeCell ref="E12:F12"/>
    <mergeCell ref="G12:H12"/>
    <mergeCell ref="I12:J12"/>
    <mergeCell ref="A8:P8"/>
    <mergeCell ref="A9:P9"/>
    <mergeCell ref="A10:B10"/>
    <mergeCell ref="C10:D10"/>
    <mergeCell ref="E10:F10"/>
    <mergeCell ref="G10:H10"/>
    <mergeCell ref="I10:J10"/>
    <mergeCell ref="K10:P10"/>
    <mergeCell ref="N7:P7"/>
    <mergeCell ref="B4:H4"/>
    <mergeCell ref="I4:J4"/>
    <mergeCell ref="K4:L4"/>
    <mergeCell ref="O4:P4"/>
    <mergeCell ref="G5:H5"/>
    <mergeCell ref="I5:J5"/>
    <mergeCell ref="K5:L5"/>
    <mergeCell ref="O5:P5"/>
    <mergeCell ref="A7:B7"/>
    <mergeCell ref="C7:F7"/>
    <mergeCell ref="G7:H7"/>
    <mergeCell ref="I7:K7"/>
    <mergeCell ref="L7:M7"/>
    <mergeCell ref="A1:P1"/>
    <mergeCell ref="A2:P2"/>
    <mergeCell ref="B3:H3"/>
    <mergeCell ref="I3:J3"/>
    <mergeCell ref="K3:L3"/>
    <mergeCell ref="M3:P3"/>
  </mergeCells>
  <hyperlinks>
    <hyperlink ref="K11" r:id="rId1"/>
    <hyperlink ref="K13" r:id="rId2"/>
  </hyperlinks>
  <pageMargins left="0.25" right="0.25" top="0.75" bottom="0.75" header="0.3" footer="0.3"/>
  <pageSetup paperSize="9" orientation="landscape" horizontalDpi="0" verticalDpi="0"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1"/>
  <dimension ref="A1:Q26"/>
  <sheetViews>
    <sheetView tabSelected="1" zoomScale="115" zoomScaleNormal="115" workbookViewId="0">
      <selection activeCell="M5" sqref="M5:N5"/>
    </sheetView>
  </sheetViews>
  <sheetFormatPr baseColWidth="10" defaultColWidth="9.140625" defaultRowHeight="15" x14ac:dyDescent="0.25"/>
  <cols>
    <col min="1" max="16" width="8.7109375" style="1" customWidth="1"/>
    <col min="17" max="16384" width="9.140625" style="1"/>
  </cols>
  <sheetData>
    <row r="1" spans="1:16" ht="28.5" x14ac:dyDescent="0.25">
      <c r="A1" s="150" t="s">
        <v>205</v>
      </c>
      <c r="B1" s="150"/>
      <c r="C1" s="150"/>
      <c r="D1" s="150"/>
      <c r="E1" s="150"/>
      <c r="F1" s="150"/>
      <c r="G1" s="150"/>
      <c r="H1" s="150"/>
      <c r="I1" s="150"/>
      <c r="J1" s="150"/>
      <c r="K1" s="150"/>
      <c r="L1" s="150"/>
      <c r="M1" s="150"/>
      <c r="N1" s="150"/>
      <c r="O1" s="150"/>
      <c r="P1" s="150"/>
    </row>
    <row r="2" spans="1:16" ht="23.25" customHeight="1" thickBot="1" x14ac:dyDescent="0.3">
      <c r="A2" s="151"/>
      <c r="B2" s="151"/>
      <c r="C2" s="151"/>
      <c r="D2" s="151"/>
      <c r="E2" s="151"/>
      <c r="F2" s="151"/>
      <c r="G2" s="151"/>
      <c r="H2" s="151"/>
      <c r="I2" s="151"/>
      <c r="J2" s="151"/>
      <c r="K2" s="151"/>
      <c r="L2" s="151"/>
      <c r="M2" s="151"/>
      <c r="N2" s="151"/>
      <c r="O2" s="151"/>
      <c r="P2" s="151"/>
    </row>
    <row r="3" spans="1:16" x14ac:dyDescent="0.25">
      <c r="A3" s="2" t="s">
        <v>1</v>
      </c>
      <c r="B3" s="103" t="s">
        <v>206</v>
      </c>
      <c r="C3" s="103"/>
      <c r="D3" s="103"/>
      <c r="E3" s="103"/>
      <c r="F3" s="103"/>
      <c r="G3" s="103"/>
      <c r="H3" s="152"/>
      <c r="I3" s="101" t="s">
        <v>6</v>
      </c>
      <c r="J3" s="102"/>
      <c r="K3" s="153">
        <v>3</v>
      </c>
      <c r="L3" s="154"/>
      <c r="M3" s="101" t="s">
        <v>9</v>
      </c>
      <c r="N3" s="102"/>
      <c r="O3" s="102"/>
      <c r="P3" s="137"/>
    </row>
    <row r="4" spans="1:16" x14ac:dyDescent="0.25">
      <c r="A4" s="3" t="s">
        <v>2</v>
      </c>
      <c r="B4" s="119" t="s">
        <v>207</v>
      </c>
      <c r="C4" s="119"/>
      <c r="D4" s="119"/>
      <c r="E4" s="119"/>
      <c r="F4" s="119"/>
      <c r="G4" s="119"/>
      <c r="H4" s="141"/>
      <c r="I4" s="142" t="s">
        <v>7</v>
      </c>
      <c r="J4" s="143"/>
      <c r="K4" s="144">
        <v>43</v>
      </c>
      <c r="L4" s="145"/>
      <c r="M4" s="21" t="s">
        <v>10</v>
      </c>
      <c r="N4" s="22" t="s">
        <v>76</v>
      </c>
      <c r="O4" s="143" t="s">
        <v>11</v>
      </c>
      <c r="P4" s="146"/>
    </row>
    <row r="5" spans="1:16" ht="15.75" thickBot="1" x14ac:dyDescent="0.3">
      <c r="A5" s="4" t="s">
        <v>480</v>
      </c>
      <c r="B5" s="71" t="s">
        <v>520</v>
      </c>
      <c r="C5" s="5" t="s">
        <v>481</v>
      </c>
      <c r="D5" s="70" t="s">
        <v>521</v>
      </c>
      <c r="E5" s="74"/>
      <c r="F5" s="5" t="s">
        <v>12</v>
      </c>
      <c r="G5" s="147">
        <v>473750037</v>
      </c>
      <c r="H5" s="126"/>
      <c r="I5" s="107" t="s">
        <v>8</v>
      </c>
      <c r="J5" s="108"/>
      <c r="K5" s="148">
        <v>450</v>
      </c>
      <c r="L5" s="149"/>
      <c r="M5" s="24"/>
      <c r="N5" s="23"/>
      <c r="O5" s="148"/>
      <c r="P5" s="149"/>
    </row>
    <row r="6" spans="1:16" ht="15.75" thickBot="1" x14ac:dyDescent="0.3">
      <c r="A6" s="12"/>
      <c r="B6" s="12"/>
      <c r="C6" s="12"/>
      <c r="D6" s="12"/>
      <c r="E6" s="12"/>
      <c r="F6" s="12"/>
      <c r="G6" s="12"/>
      <c r="H6" s="12"/>
      <c r="I6" s="12"/>
      <c r="J6" s="12"/>
      <c r="K6" s="12"/>
      <c r="L6" s="12"/>
      <c r="M6" s="12"/>
      <c r="N6" s="12"/>
      <c r="O6" s="12"/>
      <c r="P6" s="12"/>
    </row>
    <row r="7" spans="1:16" ht="15.75" thickBot="1" x14ac:dyDescent="0.3">
      <c r="A7" s="138" t="s">
        <v>31</v>
      </c>
      <c r="B7" s="139"/>
      <c r="C7" s="131"/>
      <c r="D7" s="131"/>
      <c r="E7" s="131"/>
      <c r="F7" s="131"/>
      <c r="G7" s="139" t="s">
        <v>32</v>
      </c>
      <c r="H7" s="139"/>
      <c r="I7" s="140"/>
      <c r="J7" s="140"/>
      <c r="K7" s="140"/>
      <c r="L7" s="139" t="s">
        <v>33</v>
      </c>
      <c r="M7" s="139"/>
      <c r="N7" s="131"/>
      <c r="O7" s="131"/>
      <c r="P7" s="132"/>
    </row>
    <row r="8" spans="1:16" ht="15.75" thickBot="1" x14ac:dyDescent="0.3">
      <c r="A8" s="133"/>
      <c r="B8" s="133"/>
      <c r="C8" s="133"/>
      <c r="D8" s="133"/>
      <c r="E8" s="133"/>
      <c r="F8" s="133"/>
      <c r="G8" s="133"/>
      <c r="H8" s="133"/>
      <c r="I8" s="133"/>
      <c r="J8" s="133"/>
      <c r="K8" s="133"/>
      <c r="L8" s="133"/>
      <c r="M8" s="133"/>
      <c r="N8" s="133"/>
      <c r="O8" s="133"/>
      <c r="P8" s="133"/>
    </row>
    <row r="9" spans="1:16" ht="15.75" thickBot="1" x14ac:dyDescent="0.3">
      <c r="A9" s="111" t="s">
        <v>13</v>
      </c>
      <c r="B9" s="112"/>
      <c r="C9" s="112"/>
      <c r="D9" s="112"/>
      <c r="E9" s="112"/>
      <c r="F9" s="112"/>
      <c r="G9" s="112"/>
      <c r="H9" s="112"/>
      <c r="I9" s="112"/>
      <c r="J9" s="112"/>
      <c r="K9" s="112"/>
      <c r="L9" s="112"/>
      <c r="M9" s="112"/>
      <c r="N9" s="112"/>
      <c r="O9" s="112"/>
      <c r="P9" s="113"/>
    </row>
    <row r="10" spans="1:16" s="6" customFormat="1" x14ac:dyDescent="0.25">
      <c r="A10" s="134" t="s">
        <v>1</v>
      </c>
      <c r="B10" s="135"/>
      <c r="C10" s="135" t="s">
        <v>3</v>
      </c>
      <c r="D10" s="135"/>
      <c r="E10" s="135" t="s">
        <v>4</v>
      </c>
      <c r="F10" s="135"/>
      <c r="G10" s="104" t="s">
        <v>20</v>
      </c>
      <c r="H10" s="105"/>
      <c r="I10" s="104" t="s">
        <v>21</v>
      </c>
      <c r="J10" s="136"/>
      <c r="K10" s="102" t="s">
        <v>5</v>
      </c>
      <c r="L10" s="102"/>
      <c r="M10" s="102"/>
      <c r="N10" s="102"/>
      <c r="O10" s="102"/>
      <c r="P10" s="137"/>
    </row>
    <row r="11" spans="1:16" x14ac:dyDescent="0.25">
      <c r="A11" s="118" t="s">
        <v>208</v>
      </c>
      <c r="B11" s="119"/>
      <c r="C11" s="119" t="s">
        <v>209</v>
      </c>
      <c r="D11" s="119"/>
      <c r="E11" s="119" t="s">
        <v>215</v>
      </c>
      <c r="F11" s="119"/>
      <c r="G11" s="120">
        <v>473750038</v>
      </c>
      <c r="H11" s="121"/>
      <c r="I11" s="120"/>
      <c r="J11" s="122"/>
      <c r="K11" s="129" t="s">
        <v>210</v>
      </c>
      <c r="L11" s="129"/>
      <c r="M11" s="129"/>
      <c r="N11" s="129"/>
      <c r="O11" s="129"/>
      <c r="P11" s="130"/>
    </row>
    <row r="12" spans="1:16" x14ac:dyDescent="0.25">
      <c r="A12" s="118" t="s">
        <v>211</v>
      </c>
      <c r="B12" s="119"/>
      <c r="C12" s="119" t="s">
        <v>212</v>
      </c>
      <c r="D12" s="119"/>
      <c r="E12" s="119" t="s">
        <v>151</v>
      </c>
      <c r="F12" s="119"/>
      <c r="G12" s="120"/>
      <c r="H12" s="121"/>
      <c r="I12" s="120"/>
      <c r="J12" s="122"/>
      <c r="K12" s="158" t="s">
        <v>213</v>
      </c>
      <c r="L12" s="123"/>
      <c r="M12" s="123"/>
      <c r="N12" s="123"/>
      <c r="O12" s="123"/>
      <c r="P12" s="124"/>
    </row>
    <row r="13" spans="1:16" x14ac:dyDescent="0.25">
      <c r="A13" s="118" t="s">
        <v>214</v>
      </c>
      <c r="B13" s="119"/>
      <c r="C13" s="119"/>
      <c r="D13" s="119"/>
      <c r="E13" s="119" t="s">
        <v>216</v>
      </c>
      <c r="F13" s="119"/>
      <c r="G13" s="120"/>
      <c r="H13" s="121"/>
      <c r="I13" s="120"/>
      <c r="J13" s="122"/>
      <c r="K13" s="123"/>
      <c r="L13" s="123"/>
      <c r="M13" s="123"/>
      <c r="N13" s="123"/>
      <c r="O13" s="123"/>
      <c r="P13" s="124"/>
    </row>
    <row r="14" spans="1:16" x14ac:dyDescent="0.25">
      <c r="A14" s="118" t="s">
        <v>217</v>
      </c>
      <c r="B14" s="119"/>
      <c r="C14" s="119"/>
      <c r="D14" s="119"/>
      <c r="E14" s="119" t="s">
        <v>218</v>
      </c>
      <c r="F14" s="119"/>
      <c r="G14" s="120"/>
      <c r="H14" s="121"/>
      <c r="I14" s="120"/>
      <c r="J14" s="122"/>
      <c r="K14" s="123"/>
      <c r="L14" s="123"/>
      <c r="M14" s="123"/>
      <c r="N14" s="123"/>
      <c r="O14" s="123"/>
      <c r="P14" s="124"/>
    </row>
    <row r="15" spans="1:16" x14ac:dyDescent="0.25">
      <c r="A15" s="118" t="s">
        <v>341</v>
      </c>
      <c r="B15" s="119"/>
      <c r="C15" s="119" t="s">
        <v>83</v>
      </c>
      <c r="D15" s="119"/>
      <c r="E15" s="119" t="s">
        <v>342</v>
      </c>
      <c r="F15" s="119"/>
      <c r="G15" s="120"/>
      <c r="H15" s="121"/>
      <c r="I15" s="120"/>
      <c r="J15" s="122"/>
      <c r="K15" s="158" t="s">
        <v>343</v>
      </c>
      <c r="L15" s="123"/>
      <c r="M15" s="123"/>
      <c r="N15" s="123"/>
      <c r="O15" s="123"/>
      <c r="P15" s="124"/>
    </row>
    <row r="16" spans="1:16" ht="15.75" thickBot="1" x14ac:dyDescent="0.3">
      <c r="A16" s="125"/>
      <c r="B16" s="109"/>
      <c r="C16" s="109"/>
      <c r="D16" s="109"/>
      <c r="E16" s="109"/>
      <c r="F16" s="109"/>
      <c r="G16" s="126"/>
      <c r="H16" s="127"/>
      <c r="I16" s="126"/>
      <c r="J16" s="128"/>
      <c r="K16" s="116"/>
      <c r="L16" s="116"/>
      <c r="M16" s="116"/>
      <c r="N16" s="116"/>
      <c r="O16" s="116"/>
      <c r="P16" s="117"/>
    </row>
    <row r="17" spans="1:17" ht="15.75" thickBot="1" x14ac:dyDescent="0.3">
      <c r="A17" s="100"/>
      <c r="B17" s="100"/>
      <c r="C17" s="100"/>
      <c r="D17" s="100"/>
      <c r="E17" s="100"/>
      <c r="F17" s="100"/>
      <c r="G17" s="100"/>
      <c r="H17" s="100"/>
      <c r="I17" s="100"/>
      <c r="J17" s="100"/>
      <c r="K17" s="100"/>
      <c r="L17" s="100"/>
      <c r="M17" s="100"/>
      <c r="N17" s="100"/>
      <c r="O17" s="100"/>
      <c r="P17" s="100"/>
    </row>
    <row r="18" spans="1:17" x14ac:dyDescent="0.25">
      <c r="A18" s="101" t="s">
        <v>23</v>
      </c>
      <c r="B18" s="102"/>
      <c r="C18" s="102"/>
      <c r="D18" s="103"/>
      <c r="E18" s="103"/>
      <c r="F18" s="103"/>
      <c r="G18" s="103"/>
      <c r="H18" s="103"/>
      <c r="I18" s="103"/>
      <c r="J18" s="104" t="s">
        <v>25</v>
      </c>
      <c r="K18" s="105"/>
      <c r="L18" s="103"/>
      <c r="M18" s="103"/>
      <c r="N18" s="103"/>
      <c r="O18" s="103"/>
      <c r="P18" s="106"/>
    </row>
    <row r="19" spans="1:17" ht="15.75" thickBot="1" x14ac:dyDescent="0.3">
      <c r="A19" s="107" t="s">
        <v>24</v>
      </c>
      <c r="B19" s="108"/>
      <c r="C19" s="108"/>
      <c r="D19" s="109"/>
      <c r="E19" s="109"/>
      <c r="F19" s="109"/>
      <c r="G19" s="109"/>
      <c r="H19" s="109"/>
      <c r="I19" s="109"/>
      <c r="J19" s="108" t="s">
        <v>26</v>
      </c>
      <c r="K19" s="108"/>
      <c r="L19" s="109"/>
      <c r="M19" s="109"/>
      <c r="N19" s="109"/>
      <c r="O19" s="109"/>
      <c r="P19" s="110"/>
    </row>
    <row r="20" spans="1:17" ht="15.75" thickBot="1" x14ac:dyDescent="0.3">
      <c r="A20" s="100"/>
      <c r="B20" s="100"/>
      <c r="C20" s="100"/>
      <c r="D20" s="100"/>
      <c r="E20" s="100"/>
      <c r="F20" s="100"/>
      <c r="G20" s="100"/>
      <c r="H20" s="100"/>
      <c r="I20" s="100"/>
      <c r="J20" s="100"/>
      <c r="K20" s="100"/>
      <c r="L20" s="100"/>
      <c r="M20" s="100"/>
      <c r="N20" s="100"/>
      <c r="O20" s="100"/>
      <c r="P20" s="100"/>
    </row>
    <row r="21" spans="1:17" ht="15.75" thickBot="1" x14ac:dyDescent="0.3">
      <c r="A21" s="111" t="s">
        <v>27</v>
      </c>
      <c r="B21" s="112"/>
      <c r="C21" s="112" t="s">
        <v>28</v>
      </c>
      <c r="D21" s="112"/>
      <c r="E21" s="112"/>
      <c r="F21" s="112"/>
      <c r="G21" s="112"/>
      <c r="H21" s="112"/>
      <c r="I21" s="112"/>
      <c r="J21" s="112"/>
      <c r="K21" s="112"/>
      <c r="L21" s="112"/>
      <c r="M21" s="112"/>
      <c r="N21" s="112"/>
      <c r="O21" s="112"/>
      <c r="P21" s="113"/>
      <c r="Q21" s="7"/>
    </row>
    <row r="22" spans="1:17" ht="30" customHeight="1" x14ac:dyDescent="0.25">
      <c r="A22" s="114">
        <v>42117</v>
      </c>
      <c r="B22" s="115"/>
      <c r="C22" s="91" t="s">
        <v>219</v>
      </c>
      <c r="D22" s="91"/>
      <c r="E22" s="91"/>
      <c r="F22" s="91"/>
      <c r="G22" s="91"/>
      <c r="H22" s="91"/>
      <c r="I22" s="91"/>
      <c r="J22" s="91"/>
      <c r="K22" s="91"/>
      <c r="L22" s="91"/>
      <c r="M22" s="91"/>
      <c r="N22" s="91"/>
      <c r="O22" s="91"/>
      <c r="P22" s="92"/>
      <c r="Q22" s="7"/>
    </row>
    <row r="23" spans="1:17" ht="30" customHeight="1" x14ac:dyDescent="0.25">
      <c r="A23" s="89"/>
      <c r="B23" s="90"/>
      <c r="C23" s="97"/>
      <c r="D23" s="98"/>
      <c r="E23" s="98"/>
      <c r="F23" s="98"/>
      <c r="G23" s="98"/>
      <c r="H23" s="98"/>
      <c r="I23" s="98"/>
      <c r="J23" s="98"/>
      <c r="K23" s="98"/>
      <c r="L23" s="98"/>
      <c r="M23" s="98"/>
      <c r="N23" s="98"/>
      <c r="O23" s="98"/>
      <c r="P23" s="99"/>
      <c r="Q23" s="7"/>
    </row>
    <row r="24" spans="1:17" ht="30" customHeight="1" x14ac:dyDescent="0.25">
      <c r="A24" s="89"/>
      <c r="B24" s="90"/>
      <c r="C24" s="91"/>
      <c r="D24" s="91"/>
      <c r="E24" s="91"/>
      <c r="F24" s="91"/>
      <c r="G24" s="91"/>
      <c r="H24" s="91"/>
      <c r="I24" s="91"/>
      <c r="J24" s="91"/>
      <c r="K24" s="91"/>
      <c r="L24" s="91"/>
      <c r="M24" s="91"/>
      <c r="N24" s="91"/>
      <c r="O24" s="91"/>
      <c r="P24" s="92"/>
      <c r="Q24" s="7"/>
    </row>
    <row r="25" spans="1:17" ht="30" customHeight="1" x14ac:dyDescent="0.25">
      <c r="A25" s="89"/>
      <c r="B25" s="90"/>
      <c r="C25" s="91"/>
      <c r="D25" s="91"/>
      <c r="E25" s="91"/>
      <c r="F25" s="91"/>
      <c r="G25" s="91"/>
      <c r="H25" s="91"/>
      <c r="I25" s="91"/>
      <c r="J25" s="91"/>
      <c r="K25" s="91"/>
      <c r="L25" s="91"/>
      <c r="M25" s="91"/>
      <c r="N25" s="91"/>
      <c r="O25" s="91"/>
      <c r="P25" s="92"/>
    </row>
    <row r="26" spans="1:17" ht="30" customHeight="1" thickBot="1" x14ac:dyDescent="0.3">
      <c r="A26" s="93"/>
      <c r="B26" s="94"/>
      <c r="C26" s="95"/>
      <c r="D26" s="95"/>
      <c r="E26" s="95"/>
      <c r="F26" s="95"/>
      <c r="G26" s="95"/>
      <c r="H26" s="95"/>
      <c r="I26" s="95"/>
      <c r="J26" s="95"/>
      <c r="K26" s="95"/>
      <c r="L26" s="95"/>
      <c r="M26" s="95"/>
      <c r="N26" s="95"/>
      <c r="O26" s="95"/>
      <c r="P26" s="96"/>
    </row>
  </sheetData>
  <mergeCells count="86">
    <mergeCell ref="A24:B24"/>
    <mergeCell ref="C24:P24"/>
    <mergeCell ref="A25:B25"/>
    <mergeCell ref="C25:P25"/>
    <mergeCell ref="A26:B26"/>
    <mergeCell ref="C26:P26"/>
    <mergeCell ref="A23:B23"/>
    <mergeCell ref="C23:P23"/>
    <mergeCell ref="A17:P17"/>
    <mergeCell ref="A18:C18"/>
    <mergeCell ref="D18:I18"/>
    <mergeCell ref="J18:K18"/>
    <mergeCell ref="L18:P18"/>
    <mergeCell ref="A19:C19"/>
    <mergeCell ref="D19:I19"/>
    <mergeCell ref="J19:K19"/>
    <mergeCell ref="L19:P19"/>
    <mergeCell ref="A20:P20"/>
    <mergeCell ref="A21:B21"/>
    <mergeCell ref="C21:P21"/>
    <mergeCell ref="A22:B22"/>
    <mergeCell ref="C22:P22"/>
    <mergeCell ref="K16:P16"/>
    <mergeCell ref="A15:B15"/>
    <mergeCell ref="C15:D15"/>
    <mergeCell ref="E15:F15"/>
    <mergeCell ref="G15:H15"/>
    <mergeCell ref="I15:J15"/>
    <mergeCell ref="K15:P15"/>
    <mergeCell ref="A16:B16"/>
    <mergeCell ref="C16:D16"/>
    <mergeCell ref="E16:F16"/>
    <mergeCell ref="G16:H16"/>
    <mergeCell ref="I16:J16"/>
    <mergeCell ref="K14:P14"/>
    <mergeCell ref="A13:B13"/>
    <mergeCell ref="C13:D13"/>
    <mergeCell ref="E13:F13"/>
    <mergeCell ref="G13:H13"/>
    <mergeCell ref="I13:J13"/>
    <mergeCell ref="K13:P13"/>
    <mergeCell ref="A14:B14"/>
    <mergeCell ref="C14:D14"/>
    <mergeCell ref="E14:F14"/>
    <mergeCell ref="G14:H14"/>
    <mergeCell ref="I14:J14"/>
    <mergeCell ref="K12:P12"/>
    <mergeCell ref="A11:B11"/>
    <mergeCell ref="C11:D11"/>
    <mergeCell ref="E11:F11"/>
    <mergeCell ref="G11:H11"/>
    <mergeCell ref="I11:J11"/>
    <mergeCell ref="K11:P11"/>
    <mergeCell ref="A12:B12"/>
    <mergeCell ref="C12:D12"/>
    <mergeCell ref="E12:F12"/>
    <mergeCell ref="G12:H12"/>
    <mergeCell ref="I12:J12"/>
    <mergeCell ref="A8:P8"/>
    <mergeCell ref="A9:P9"/>
    <mergeCell ref="A10:B10"/>
    <mergeCell ref="C10:D10"/>
    <mergeCell ref="E10:F10"/>
    <mergeCell ref="G10:H10"/>
    <mergeCell ref="I10:J10"/>
    <mergeCell ref="K10:P10"/>
    <mergeCell ref="N7:P7"/>
    <mergeCell ref="B4:H4"/>
    <mergeCell ref="I4:J4"/>
    <mergeCell ref="K4:L4"/>
    <mergeCell ref="O4:P4"/>
    <mergeCell ref="G5:H5"/>
    <mergeCell ref="I5:J5"/>
    <mergeCell ref="K5:L5"/>
    <mergeCell ref="O5:P5"/>
    <mergeCell ref="A7:B7"/>
    <mergeCell ref="C7:F7"/>
    <mergeCell ref="G7:H7"/>
    <mergeCell ref="I7:K7"/>
    <mergeCell ref="L7:M7"/>
    <mergeCell ref="A1:P1"/>
    <mergeCell ref="A2:P2"/>
    <mergeCell ref="B3:H3"/>
    <mergeCell ref="I3:J3"/>
    <mergeCell ref="K3:L3"/>
    <mergeCell ref="M3:P3"/>
  </mergeCells>
  <hyperlinks>
    <hyperlink ref="K11" r:id="rId1"/>
    <hyperlink ref="K12" r:id="rId2"/>
    <hyperlink ref="K15" r:id="rId3"/>
  </hyperlinks>
  <pageMargins left="0.25" right="0.25" top="0.75" bottom="0.75" header="0.3" footer="0.3"/>
  <pageSetup paperSize="9" orientation="landscape" horizontalDpi="0" verticalDpi="0" r:id="rId4"/>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2"/>
  <dimension ref="A1:Q26"/>
  <sheetViews>
    <sheetView tabSelected="1" zoomScale="115" zoomScaleNormal="115" workbookViewId="0">
      <selection activeCell="M5" sqref="M5:N5"/>
    </sheetView>
  </sheetViews>
  <sheetFormatPr baseColWidth="10" defaultColWidth="9.140625" defaultRowHeight="15" x14ac:dyDescent="0.25"/>
  <cols>
    <col min="1" max="16" width="8.7109375" style="1" customWidth="1"/>
    <col min="17" max="16384" width="9.140625" style="1"/>
  </cols>
  <sheetData>
    <row r="1" spans="1:16" ht="28.5" x14ac:dyDescent="0.25">
      <c r="A1" s="150" t="s">
        <v>220</v>
      </c>
      <c r="B1" s="150"/>
      <c r="C1" s="150"/>
      <c r="D1" s="150"/>
      <c r="E1" s="150"/>
      <c r="F1" s="150"/>
      <c r="G1" s="150"/>
      <c r="H1" s="150"/>
      <c r="I1" s="150"/>
      <c r="J1" s="150"/>
      <c r="K1" s="150"/>
      <c r="L1" s="150"/>
      <c r="M1" s="150"/>
      <c r="N1" s="150"/>
      <c r="O1" s="150"/>
      <c r="P1" s="150"/>
    </row>
    <row r="2" spans="1:16" ht="23.25" customHeight="1" thickBot="1" x14ac:dyDescent="0.3">
      <c r="A2" s="151"/>
      <c r="B2" s="151"/>
      <c r="C2" s="151"/>
      <c r="D2" s="151"/>
      <c r="E2" s="151"/>
      <c r="F2" s="151"/>
      <c r="G2" s="151"/>
      <c r="H2" s="151"/>
      <c r="I2" s="151"/>
      <c r="J2" s="151"/>
      <c r="K2" s="151"/>
      <c r="L2" s="151"/>
      <c r="M2" s="151"/>
      <c r="N2" s="151"/>
      <c r="O2" s="151"/>
      <c r="P2" s="151"/>
    </row>
    <row r="3" spans="1:16" x14ac:dyDescent="0.25">
      <c r="A3" s="2" t="s">
        <v>1</v>
      </c>
      <c r="B3" s="103" t="s">
        <v>220</v>
      </c>
      <c r="C3" s="103"/>
      <c r="D3" s="103"/>
      <c r="E3" s="103"/>
      <c r="F3" s="103"/>
      <c r="G3" s="103"/>
      <c r="H3" s="152"/>
      <c r="I3" s="101" t="s">
        <v>6</v>
      </c>
      <c r="J3" s="102"/>
      <c r="K3" s="153" t="s">
        <v>37</v>
      </c>
      <c r="L3" s="154"/>
      <c r="M3" s="101" t="s">
        <v>9</v>
      </c>
      <c r="N3" s="102"/>
      <c r="O3" s="102"/>
      <c r="P3" s="137"/>
    </row>
    <row r="4" spans="1:16" x14ac:dyDescent="0.25">
      <c r="A4" s="3" t="s">
        <v>2</v>
      </c>
      <c r="B4" s="119" t="s">
        <v>221</v>
      </c>
      <c r="C4" s="119"/>
      <c r="D4" s="119"/>
      <c r="E4" s="119"/>
      <c r="F4" s="119"/>
      <c r="G4" s="119"/>
      <c r="H4" s="141"/>
      <c r="I4" s="142" t="s">
        <v>7</v>
      </c>
      <c r="J4" s="143"/>
      <c r="K4" s="144">
        <v>12</v>
      </c>
      <c r="L4" s="145"/>
      <c r="M4" s="21" t="s">
        <v>10</v>
      </c>
      <c r="N4" s="22" t="s">
        <v>76</v>
      </c>
      <c r="O4" s="143" t="s">
        <v>11</v>
      </c>
      <c r="P4" s="146"/>
    </row>
    <row r="5" spans="1:16" ht="15.75" thickBot="1" x14ac:dyDescent="0.3">
      <c r="A5" s="4" t="s">
        <v>480</v>
      </c>
      <c r="B5" s="71" t="s">
        <v>522</v>
      </c>
      <c r="C5" s="5" t="s">
        <v>481</v>
      </c>
      <c r="D5" s="70" t="s">
        <v>523</v>
      </c>
      <c r="E5" s="74"/>
      <c r="F5" s="5" t="s">
        <v>12</v>
      </c>
      <c r="G5" s="147">
        <v>241496319</v>
      </c>
      <c r="H5" s="126"/>
      <c r="I5" s="107" t="s">
        <v>8</v>
      </c>
      <c r="J5" s="108"/>
      <c r="K5" s="148">
        <v>272</v>
      </c>
      <c r="L5" s="149"/>
      <c r="M5" s="24"/>
      <c r="N5" s="23"/>
      <c r="O5" s="148">
        <v>144</v>
      </c>
      <c r="P5" s="149"/>
    </row>
    <row r="6" spans="1:16" ht="15.75" thickBot="1" x14ac:dyDescent="0.3">
      <c r="A6" s="12"/>
      <c r="B6" s="12"/>
      <c r="C6" s="12"/>
      <c r="D6" s="12"/>
      <c r="E6" s="12"/>
      <c r="F6" s="12"/>
      <c r="G6" s="12"/>
      <c r="H6" s="12"/>
      <c r="I6" s="12"/>
      <c r="J6" s="12"/>
      <c r="K6" s="12"/>
      <c r="L6" s="12"/>
      <c r="M6" s="12"/>
      <c r="N6" s="12"/>
      <c r="O6" s="12"/>
      <c r="P6" s="12"/>
    </row>
    <row r="7" spans="1:16" ht="15.75" thickBot="1" x14ac:dyDescent="0.3">
      <c r="A7" s="138" t="s">
        <v>31</v>
      </c>
      <c r="B7" s="139"/>
      <c r="C7" s="131"/>
      <c r="D7" s="131"/>
      <c r="E7" s="131"/>
      <c r="F7" s="131"/>
      <c r="G7" s="139" t="s">
        <v>32</v>
      </c>
      <c r="H7" s="139"/>
      <c r="I7" s="140"/>
      <c r="J7" s="140"/>
      <c r="K7" s="140"/>
      <c r="L7" s="139" t="s">
        <v>33</v>
      </c>
      <c r="M7" s="139"/>
      <c r="N7" s="131"/>
      <c r="O7" s="131"/>
      <c r="P7" s="132"/>
    </row>
    <row r="8" spans="1:16" ht="15.75" thickBot="1" x14ac:dyDescent="0.3">
      <c r="A8" s="133"/>
      <c r="B8" s="133"/>
      <c r="C8" s="133"/>
      <c r="D8" s="133"/>
      <c r="E8" s="133"/>
      <c r="F8" s="133"/>
      <c r="G8" s="133"/>
      <c r="H8" s="133"/>
      <c r="I8" s="133"/>
      <c r="J8" s="133"/>
      <c r="K8" s="133"/>
      <c r="L8" s="133"/>
      <c r="M8" s="133"/>
      <c r="N8" s="133"/>
      <c r="O8" s="133"/>
      <c r="P8" s="133"/>
    </row>
    <row r="9" spans="1:16" ht="15.75" thickBot="1" x14ac:dyDescent="0.3">
      <c r="A9" s="111" t="s">
        <v>13</v>
      </c>
      <c r="B9" s="112"/>
      <c r="C9" s="112"/>
      <c r="D9" s="112"/>
      <c r="E9" s="112"/>
      <c r="F9" s="112"/>
      <c r="G9" s="112"/>
      <c r="H9" s="112"/>
      <c r="I9" s="112"/>
      <c r="J9" s="112"/>
      <c r="K9" s="112"/>
      <c r="L9" s="112"/>
      <c r="M9" s="112"/>
      <c r="N9" s="112"/>
      <c r="O9" s="112"/>
      <c r="P9" s="113"/>
    </row>
    <row r="10" spans="1:16" s="6" customFormat="1" x14ac:dyDescent="0.25">
      <c r="A10" s="134" t="s">
        <v>1</v>
      </c>
      <c r="B10" s="135"/>
      <c r="C10" s="135" t="s">
        <v>3</v>
      </c>
      <c r="D10" s="135"/>
      <c r="E10" s="135" t="s">
        <v>4</v>
      </c>
      <c r="F10" s="135"/>
      <c r="G10" s="104" t="s">
        <v>20</v>
      </c>
      <c r="H10" s="105"/>
      <c r="I10" s="104" t="s">
        <v>21</v>
      </c>
      <c r="J10" s="136"/>
      <c r="K10" s="102" t="s">
        <v>5</v>
      </c>
      <c r="L10" s="102"/>
      <c r="M10" s="102"/>
      <c r="N10" s="102"/>
      <c r="O10" s="102"/>
      <c r="P10" s="137"/>
    </row>
    <row r="11" spans="1:16" x14ac:dyDescent="0.25">
      <c r="A11" s="118" t="s">
        <v>222</v>
      </c>
      <c r="B11" s="119"/>
      <c r="C11" s="119" t="s">
        <v>223</v>
      </c>
      <c r="D11" s="119"/>
      <c r="E11" s="119" t="s">
        <v>71</v>
      </c>
      <c r="F11" s="119"/>
      <c r="G11" s="120" t="s">
        <v>224</v>
      </c>
      <c r="H11" s="121"/>
      <c r="I11" s="120"/>
      <c r="J11" s="122"/>
      <c r="K11" s="129" t="s">
        <v>225</v>
      </c>
      <c r="L11" s="129"/>
      <c r="M11" s="129"/>
      <c r="N11" s="129"/>
      <c r="O11" s="129"/>
      <c r="P11" s="130"/>
    </row>
    <row r="12" spans="1:16" x14ac:dyDescent="0.25">
      <c r="A12" s="118" t="s">
        <v>226</v>
      </c>
      <c r="B12" s="119"/>
      <c r="C12" s="119" t="s">
        <v>227</v>
      </c>
      <c r="D12" s="119"/>
      <c r="E12" s="119" t="s">
        <v>228</v>
      </c>
      <c r="F12" s="119"/>
      <c r="G12" s="120"/>
      <c r="H12" s="121"/>
      <c r="I12" s="120"/>
      <c r="J12" s="122"/>
      <c r="K12" s="158" t="s">
        <v>229</v>
      </c>
      <c r="L12" s="123"/>
      <c r="M12" s="123"/>
      <c r="N12" s="123"/>
      <c r="O12" s="123"/>
      <c r="P12" s="124"/>
    </row>
    <row r="13" spans="1:16" x14ac:dyDescent="0.25">
      <c r="A13" s="118"/>
      <c r="B13" s="119"/>
      <c r="C13" s="119"/>
      <c r="D13" s="119"/>
      <c r="E13" s="119"/>
      <c r="F13" s="119"/>
      <c r="G13" s="120"/>
      <c r="H13" s="121"/>
      <c r="I13" s="120"/>
      <c r="J13" s="122"/>
      <c r="K13" s="123"/>
      <c r="L13" s="123"/>
      <c r="M13" s="123"/>
      <c r="N13" s="123"/>
      <c r="O13" s="123"/>
      <c r="P13" s="124"/>
    </row>
    <row r="14" spans="1:16" x14ac:dyDescent="0.25">
      <c r="A14" s="118"/>
      <c r="B14" s="119"/>
      <c r="C14" s="119"/>
      <c r="D14" s="119"/>
      <c r="E14" s="119"/>
      <c r="F14" s="119"/>
      <c r="G14" s="120"/>
      <c r="H14" s="121"/>
      <c r="I14" s="120"/>
      <c r="J14" s="122"/>
      <c r="K14" s="123"/>
      <c r="L14" s="123"/>
      <c r="M14" s="123"/>
      <c r="N14" s="123"/>
      <c r="O14" s="123"/>
      <c r="P14" s="124"/>
    </row>
    <row r="15" spans="1:16" x14ac:dyDescent="0.25">
      <c r="A15" s="118"/>
      <c r="B15" s="119"/>
      <c r="C15" s="119"/>
      <c r="D15" s="119"/>
      <c r="E15" s="119"/>
      <c r="F15" s="119"/>
      <c r="G15" s="120"/>
      <c r="H15" s="121"/>
      <c r="I15" s="120"/>
      <c r="J15" s="122"/>
      <c r="K15" s="123"/>
      <c r="L15" s="123"/>
      <c r="M15" s="123"/>
      <c r="N15" s="123"/>
      <c r="O15" s="123"/>
      <c r="P15" s="124"/>
    </row>
    <row r="16" spans="1:16" ht="15.75" thickBot="1" x14ac:dyDescent="0.3">
      <c r="A16" s="125"/>
      <c r="B16" s="109"/>
      <c r="C16" s="109"/>
      <c r="D16" s="109"/>
      <c r="E16" s="109"/>
      <c r="F16" s="109"/>
      <c r="G16" s="126"/>
      <c r="H16" s="127"/>
      <c r="I16" s="126"/>
      <c r="J16" s="128"/>
      <c r="K16" s="116"/>
      <c r="L16" s="116"/>
      <c r="M16" s="116"/>
      <c r="N16" s="116"/>
      <c r="O16" s="116"/>
      <c r="P16" s="117"/>
    </row>
    <row r="17" spans="1:17" ht="15.75" thickBot="1" x14ac:dyDescent="0.3">
      <c r="A17" s="100"/>
      <c r="B17" s="100"/>
      <c r="C17" s="100"/>
      <c r="D17" s="100"/>
      <c r="E17" s="100"/>
      <c r="F17" s="100"/>
      <c r="G17" s="100"/>
      <c r="H17" s="100"/>
      <c r="I17" s="100"/>
      <c r="J17" s="100"/>
      <c r="K17" s="100"/>
      <c r="L17" s="100"/>
      <c r="M17" s="100"/>
      <c r="N17" s="100"/>
      <c r="O17" s="100"/>
      <c r="P17" s="100"/>
    </row>
    <row r="18" spans="1:17" x14ac:dyDescent="0.25">
      <c r="A18" s="101" t="s">
        <v>23</v>
      </c>
      <c r="B18" s="102"/>
      <c r="C18" s="102"/>
      <c r="D18" s="103"/>
      <c r="E18" s="103"/>
      <c r="F18" s="103"/>
      <c r="G18" s="103"/>
      <c r="H18" s="103"/>
      <c r="I18" s="103"/>
      <c r="J18" s="104" t="s">
        <v>25</v>
      </c>
      <c r="K18" s="105"/>
      <c r="L18" s="103"/>
      <c r="M18" s="103"/>
      <c r="N18" s="103"/>
      <c r="O18" s="103"/>
      <c r="P18" s="106"/>
    </row>
    <row r="19" spans="1:17" ht="15.75" thickBot="1" x14ac:dyDescent="0.3">
      <c r="A19" s="107" t="s">
        <v>24</v>
      </c>
      <c r="B19" s="108"/>
      <c r="C19" s="108"/>
      <c r="D19" s="109"/>
      <c r="E19" s="109"/>
      <c r="F19" s="109"/>
      <c r="G19" s="109"/>
      <c r="H19" s="109"/>
      <c r="I19" s="109"/>
      <c r="J19" s="108" t="s">
        <v>26</v>
      </c>
      <c r="K19" s="108"/>
      <c r="L19" s="109"/>
      <c r="M19" s="109"/>
      <c r="N19" s="109"/>
      <c r="O19" s="109"/>
      <c r="P19" s="110"/>
    </row>
    <row r="20" spans="1:17" ht="15.75" thickBot="1" x14ac:dyDescent="0.3">
      <c r="A20" s="100"/>
      <c r="B20" s="100"/>
      <c r="C20" s="100"/>
      <c r="D20" s="100"/>
      <c r="E20" s="100"/>
      <c r="F20" s="100"/>
      <c r="G20" s="100"/>
      <c r="H20" s="100"/>
      <c r="I20" s="100"/>
      <c r="J20" s="100"/>
      <c r="K20" s="100"/>
      <c r="L20" s="100"/>
      <c r="M20" s="100"/>
      <c r="N20" s="100"/>
      <c r="O20" s="100"/>
      <c r="P20" s="100"/>
    </row>
    <row r="21" spans="1:17" ht="15.75" thickBot="1" x14ac:dyDescent="0.3">
      <c r="A21" s="111" t="s">
        <v>27</v>
      </c>
      <c r="B21" s="112"/>
      <c r="C21" s="112" t="s">
        <v>28</v>
      </c>
      <c r="D21" s="112"/>
      <c r="E21" s="112"/>
      <c r="F21" s="112"/>
      <c r="G21" s="112"/>
      <c r="H21" s="112"/>
      <c r="I21" s="112"/>
      <c r="J21" s="112"/>
      <c r="K21" s="112"/>
      <c r="L21" s="112"/>
      <c r="M21" s="112"/>
      <c r="N21" s="112"/>
      <c r="O21" s="112"/>
      <c r="P21" s="113"/>
      <c r="Q21" s="7"/>
    </row>
    <row r="22" spans="1:17" ht="30" customHeight="1" x14ac:dyDescent="0.25">
      <c r="A22" s="114">
        <v>42121</v>
      </c>
      <c r="B22" s="115"/>
      <c r="C22" s="91" t="s">
        <v>230</v>
      </c>
      <c r="D22" s="91"/>
      <c r="E22" s="91"/>
      <c r="F22" s="91"/>
      <c r="G22" s="91"/>
      <c r="H22" s="91"/>
      <c r="I22" s="91"/>
      <c r="J22" s="91"/>
      <c r="K22" s="91"/>
      <c r="L22" s="91"/>
      <c r="M22" s="91"/>
      <c r="N22" s="91"/>
      <c r="O22" s="91"/>
      <c r="P22" s="92"/>
      <c r="Q22" s="7"/>
    </row>
    <row r="23" spans="1:17" ht="30" customHeight="1" x14ac:dyDescent="0.25">
      <c r="A23" s="89"/>
      <c r="B23" s="90"/>
      <c r="C23" s="97"/>
      <c r="D23" s="98"/>
      <c r="E23" s="98"/>
      <c r="F23" s="98"/>
      <c r="G23" s="98"/>
      <c r="H23" s="98"/>
      <c r="I23" s="98"/>
      <c r="J23" s="98"/>
      <c r="K23" s="98"/>
      <c r="L23" s="98"/>
      <c r="M23" s="98"/>
      <c r="N23" s="98"/>
      <c r="O23" s="98"/>
      <c r="P23" s="99"/>
      <c r="Q23" s="7"/>
    </row>
    <row r="24" spans="1:17" ht="30" customHeight="1" x14ac:dyDescent="0.25">
      <c r="A24" s="89"/>
      <c r="B24" s="90"/>
      <c r="C24" s="91"/>
      <c r="D24" s="91"/>
      <c r="E24" s="91"/>
      <c r="F24" s="91"/>
      <c r="G24" s="91"/>
      <c r="H24" s="91"/>
      <c r="I24" s="91"/>
      <c r="J24" s="91"/>
      <c r="K24" s="91"/>
      <c r="L24" s="91"/>
      <c r="M24" s="91"/>
      <c r="N24" s="91"/>
      <c r="O24" s="91"/>
      <c r="P24" s="92"/>
      <c r="Q24" s="7"/>
    </row>
    <row r="25" spans="1:17" ht="30" customHeight="1" x14ac:dyDescent="0.25">
      <c r="A25" s="89"/>
      <c r="B25" s="90"/>
      <c r="C25" s="91"/>
      <c r="D25" s="91"/>
      <c r="E25" s="91"/>
      <c r="F25" s="91"/>
      <c r="G25" s="91"/>
      <c r="H25" s="91"/>
      <c r="I25" s="91"/>
      <c r="J25" s="91"/>
      <c r="K25" s="91"/>
      <c r="L25" s="91"/>
      <c r="M25" s="91"/>
      <c r="N25" s="91"/>
      <c r="O25" s="91"/>
      <c r="P25" s="92"/>
    </row>
    <row r="26" spans="1:17" ht="30" customHeight="1" thickBot="1" x14ac:dyDescent="0.3">
      <c r="A26" s="93"/>
      <c r="B26" s="94"/>
      <c r="C26" s="95"/>
      <c r="D26" s="95"/>
      <c r="E26" s="95"/>
      <c r="F26" s="95"/>
      <c r="G26" s="95"/>
      <c r="H26" s="95"/>
      <c r="I26" s="95"/>
      <c r="J26" s="95"/>
      <c r="K26" s="95"/>
      <c r="L26" s="95"/>
      <c r="M26" s="95"/>
      <c r="N26" s="95"/>
      <c r="O26" s="95"/>
      <c r="P26" s="96"/>
    </row>
  </sheetData>
  <mergeCells count="86">
    <mergeCell ref="A24:B24"/>
    <mergeCell ref="C24:P24"/>
    <mergeCell ref="A25:B25"/>
    <mergeCell ref="C25:P25"/>
    <mergeCell ref="A26:B26"/>
    <mergeCell ref="C26:P26"/>
    <mergeCell ref="A23:B23"/>
    <mergeCell ref="C23:P23"/>
    <mergeCell ref="A17:P17"/>
    <mergeCell ref="A18:C18"/>
    <mergeCell ref="D18:I18"/>
    <mergeCell ref="J18:K18"/>
    <mergeCell ref="L18:P18"/>
    <mergeCell ref="A19:C19"/>
    <mergeCell ref="D19:I19"/>
    <mergeCell ref="J19:K19"/>
    <mergeCell ref="L19:P19"/>
    <mergeCell ref="A20:P20"/>
    <mergeCell ref="A21:B21"/>
    <mergeCell ref="C21:P21"/>
    <mergeCell ref="A22:B22"/>
    <mergeCell ref="C22:P22"/>
    <mergeCell ref="K16:P16"/>
    <mergeCell ref="A15:B15"/>
    <mergeCell ref="C15:D15"/>
    <mergeCell ref="E15:F15"/>
    <mergeCell ref="G15:H15"/>
    <mergeCell ref="I15:J15"/>
    <mergeCell ref="K15:P15"/>
    <mergeCell ref="A16:B16"/>
    <mergeCell ref="C16:D16"/>
    <mergeCell ref="E16:F16"/>
    <mergeCell ref="G16:H16"/>
    <mergeCell ref="I16:J16"/>
    <mergeCell ref="K14:P14"/>
    <mergeCell ref="A13:B13"/>
    <mergeCell ref="C13:D13"/>
    <mergeCell ref="E13:F13"/>
    <mergeCell ref="G13:H13"/>
    <mergeCell ref="I13:J13"/>
    <mergeCell ref="K13:P13"/>
    <mergeCell ref="A14:B14"/>
    <mergeCell ref="C14:D14"/>
    <mergeCell ref="E14:F14"/>
    <mergeCell ref="G14:H14"/>
    <mergeCell ref="I14:J14"/>
    <mergeCell ref="K12:P12"/>
    <mergeCell ref="A11:B11"/>
    <mergeCell ref="C11:D11"/>
    <mergeCell ref="E11:F11"/>
    <mergeCell ref="G11:H11"/>
    <mergeCell ref="I11:J11"/>
    <mergeCell ref="K11:P11"/>
    <mergeCell ref="A12:B12"/>
    <mergeCell ref="C12:D12"/>
    <mergeCell ref="E12:F12"/>
    <mergeCell ref="G12:H12"/>
    <mergeCell ref="I12:J12"/>
    <mergeCell ref="A8:P8"/>
    <mergeCell ref="A9:P9"/>
    <mergeCell ref="A10:B10"/>
    <mergeCell ref="C10:D10"/>
    <mergeCell ref="E10:F10"/>
    <mergeCell ref="G10:H10"/>
    <mergeCell ref="I10:J10"/>
    <mergeCell ref="K10:P10"/>
    <mergeCell ref="N7:P7"/>
    <mergeCell ref="B4:H4"/>
    <mergeCell ref="I4:J4"/>
    <mergeCell ref="K4:L4"/>
    <mergeCell ref="O4:P4"/>
    <mergeCell ref="G5:H5"/>
    <mergeCell ref="I5:J5"/>
    <mergeCell ref="K5:L5"/>
    <mergeCell ref="O5:P5"/>
    <mergeCell ref="A7:B7"/>
    <mergeCell ref="C7:F7"/>
    <mergeCell ref="G7:H7"/>
    <mergeCell ref="I7:K7"/>
    <mergeCell ref="L7:M7"/>
    <mergeCell ref="A1:P1"/>
    <mergeCell ref="A2:P2"/>
    <mergeCell ref="B3:H3"/>
    <mergeCell ref="I3:J3"/>
    <mergeCell ref="K3:L3"/>
    <mergeCell ref="M3:P3"/>
  </mergeCells>
  <hyperlinks>
    <hyperlink ref="K11" r:id="rId1"/>
    <hyperlink ref="K12" r:id="rId2"/>
  </hyperlinks>
  <pageMargins left="0.25" right="0.25" top="0.75" bottom="0.75" header="0.3" footer="0.3"/>
  <pageSetup paperSize="9" orientation="landscape" horizontalDpi="0" verticalDpi="0" r:id="rId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3"/>
  <dimension ref="A1:Q26"/>
  <sheetViews>
    <sheetView tabSelected="1" zoomScale="115" zoomScaleNormal="115" workbookViewId="0">
      <selection activeCell="M5" sqref="M5:N5"/>
    </sheetView>
  </sheetViews>
  <sheetFormatPr baseColWidth="10" defaultColWidth="9.140625" defaultRowHeight="15" x14ac:dyDescent="0.25"/>
  <cols>
    <col min="1" max="16" width="8.7109375" style="1" customWidth="1"/>
    <col min="17" max="16384" width="9.140625" style="1"/>
  </cols>
  <sheetData>
    <row r="1" spans="1:16" ht="28.5" x14ac:dyDescent="0.25">
      <c r="A1" s="150" t="s">
        <v>231</v>
      </c>
      <c r="B1" s="150"/>
      <c r="C1" s="150"/>
      <c r="D1" s="150"/>
      <c r="E1" s="150"/>
      <c r="F1" s="150"/>
      <c r="G1" s="150"/>
      <c r="H1" s="150"/>
      <c r="I1" s="150"/>
      <c r="J1" s="150"/>
      <c r="K1" s="150"/>
      <c r="L1" s="150"/>
      <c r="M1" s="150"/>
      <c r="N1" s="150"/>
      <c r="O1" s="150"/>
      <c r="P1" s="150"/>
    </row>
    <row r="2" spans="1:16" ht="23.25" customHeight="1" thickBot="1" x14ac:dyDescent="0.3">
      <c r="A2" s="151"/>
      <c r="B2" s="151"/>
      <c r="C2" s="151"/>
      <c r="D2" s="151"/>
      <c r="E2" s="151"/>
      <c r="F2" s="151"/>
      <c r="G2" s="151"/>
      <c r="H2" s="151"/>
      <c r="I2" s="151"/>
      <c r="J2" s="151"/>
      <c r="K2" s="151"/>
      <c r="L2" s="151"/>
      <c r="M2" s="151"/>
      <c r="N2" s="151"/>
      <c r="O2" s="151"/>
      <c r="P2" s="151"/>
    </row>
    <row r="3" spans="1:16" x14ac:dyDescent="0.25">
      <c r="A3" s="2" t="s">
        <v>1</v>
      </c>
      <c r="B3" s="103" t="s">
        <v>232</v>
      </c>
      <c r="C3" s="103"/>
      <c r="D3" s="103"/>
      <c r="E3" s="103"/>
      <c r="F3" s="103"/>
      <c r="G3" s="103"/>
      <c r="H3" s="152"/>
      <c r="I3" s="101" t="s">
        <v>6</v>
      </c>
      <c r="J3" s="102"/>
      <c r="K3" s="153" t="s">
        <v>37</v>
      </c>
      <c r="L3" s="154"/>
      <c r="M3" s="101" t="s">
        <v>9</v>
      </c>
      <c r="N3" s="102"/>
      <c r="O3" s="102"/>
      <c r="P3" s="137"/>
    </row>
    <row r="4" spans="1:16" x14ac:dyDescent="0.25">
      <c r="A4" s="3" t="s">
        <v>2</v>
      </c>
      <c r="B4" s="119" t="s">
        <v>233</v>
      </c>
      <c r="C4" s="119"/>
      <c r="D4" s="119"/>
      <c r="E4" s="119"/>
      <c r="F4" s="119"/>
      <c r="G4" s="119"/>
      <c r="H4" s="141"/>
      <c r="I4" s="142" t="s">
        <v>7</v>
      </c>
      <c r="J4" s="143"/>
      <c r="K4" s="144">
        <v>12</v>
      </c>
      <c r="L4" s="145"/>
      <c r="M4" s="25" t="s">
        <v>10</v>
      </c>
      <c r="N4" s="26" t="s">
        <v>76</v>
      </c>
      <c r="O4" s="143" t="s">
        <v>11</v>
      </c>
      <c r="P4" s="146"/>
    </row>
    <row r="5" spans="1:16" ht="15.75" thickBot="1" x14ac:dyDescent="0.3">
      <c r="A5" s="4" t="s">
        <v>480</v>
      </c>
      <c r="B5" s="71" t="s">
        <v>524</v>
      </c>
      <c r="C5" s="5" t="s">
        <v>481</v>
      </c>
      <c r="D5" s="70" t="s">
        <v>231</v>
      </c>
      <c r="E5" s="74"/>
      <c r="F5" s="5" t="s">
        <v>12</v>
      </c>
      <c r="G5" s="147">
        <v>826302121</v>
      </c>
      <c r="H5" s="126"/>
      <c r="I5" s="107" t="s">
        <v>8</v>
      </c>
      <c r="J5" s="108"/>
      <c r="K5" s="148">
        <v>350</v>
      </c>
      <c r="L5" s="149"/>
      <c r="M5" s="28"/>
      <c r="N5" s="27"/>
      <c r="O5" s="148">
        <v>96</v>
      </c>
      <c r="P5" s="149"/>
    </row>
    <row r="6" spans="1:16" ht="15.75" thickBot="1" x14ac:dyDescent="0.3">
      <c r="A6" s="12"/>
      <c r="B6" s="12"/>
      <c r="C6" s="12"/>
      <c r="D6" s="12"/>
      <c r="E6" s="12"/>
      <c r="F6" s="12"/>
      <c r="G6" s="12"/>
      <c r="H6" s="12"/>
      <c r="I6" s="12"/>
      <c r="J6" s="12"/>
      <c r="K6" s="12"/>
      <c r="L6" s="12"/>
      <c r="M6" s="12"/>
      <c r="N6" s="12"/>
      <c r="O6" s="12"/>
      <c r="P6" s="12"/>
    </row>
    <row r="7" spans="1:16" ht="15.75" thickBot="1" x14ac:dyDescent="0.3">
      <c r="A7" s="138" t="s">
        <v>31</v>
      </c>
      <c r="B7" s="139"/>
      <c r="C7" s="131"/>
      <c r="D7" s="131"/>
      <c r="E7" s="131"/>
      <c r="F7" s="131"/>
      <c r="G7" s="139" t="s">
        <v>32</v>
      </c>
      <c r="H7" s="139"/>
      <c r="I7" s="140"/>
      <c r="J7" s="140"/>
      <c r="K7" s="140"/>
      <c r="L7" s="139" t="s">
        <v>33</v>
      </c>
      <c r="M7" s="139"/>
      <c r="N7" s="131"/>
      <c r="O7" s="131"/>
      <c r="P7" s="132"/>
    </row>
    <row r="8" spans="1:16" ht="15.75" thickBot="1" x14ac:dyDescent="0.3">
      <c r="A8" s="133"/>
      <c r="B8" s="133"/>
      <c r="C8" s="133"/>
      <c r="D8" s="133"/>
      <c r="E8" s="133"/>
      <c r="F8" s="133"/>
      <c r="G8" s="133"/>
      <c r="H8" s="133"/>
      <c r="I8" s="133"/>
      <c r="J8" s="133"/>
      <c r="K8" s="133"/>
      <c r="L8" s="133"/>
      <c r="M8" s="133"/>
      <c r="N8" s="133"/>
      <c r="O8" s="133"/>
      <c r="P8" s="133"/>
    </row>
    <row r="9" spans="1:16" ht="15.75" thickBot="1" x14ac:dyDescent="0.3">
      <c r="A9" s="111" t="s">
        <v>13</v>
      </c>
      <c r="B9" s="112"/>
      <c r="C9" s="112"/>
      <c r="D9" s="112"/>
      <c r="E9" s="112"/>
      <c r="F9" s="112"/>
      <c r="G9" s="112"/>
      <c r="H9" s="112"/>
      <c r="I9" s="112"/>
      <c r="J9" s="112"/>
      <c r="K9" s="112"/>
      <c r="L9" s="112"/>
      <c r="M9" s="112"/>
      <c r="N9" s="112"/>
      <c r="O9" s="112"/>
      <c r="P9" s="113"/>
    </row>
    <row r="10" spans="1:16" s="6" customFormat="1" x14ac:dyDescent="0.25">
      <c r="A10" s="134" t="s">
        <v>1</v>
      </c>
      <c r="B10" s="135"/>
      <c r="C10" s="135" t="s">
        <v>3</v>
      </c>
      <c r="D10" s="135"/>
      <c r="E10" s="135" t="s">
        <v>4</v>
      </c>
      <c r="F10" s="135"/>
      <c r="G10" s="104" t="s">
        <v>20</v>
      </c>
      <c r="H10" s="105"/>
      <c r="I10" s="104" t="s">
        <v>21</v>
      </c>
      <c r="J10" s="136"/>
      <c r="K10" s="102" t="s">
        <v>5</v>
      </c>
      <c r="L10" s="102"/>
      <c r="M10" s="102"/>
      <c r="N10" s="102"/>
      <c r="O10" s="102"/>
      <c r="P10" s="137"/>
    </row>
    <row r="11" spans="1:16" x14ac:dyDescent="0.25">
      <c r="A11" s="118" t="s">
        <v>234</v>
      </c>
      <c r="B11" s="119"/>
      <c r="C11" s="119" t="s">
        <v>235</v>
      </c>
      <c r="D11" s="119"/>
      <c r="E11" s="119" t="s">
        <v>236</v>
      </c>
      <c r="F11" s="119"/>
      <c r="G11" s="120"/>
      <c r="H11" s="121"/>
      <c r="I11" s="120"/>
      <c r="J11" s="122"/>
      <c r="K11" s="129" t="s">
        <v>237</v>
      </c>
      <c r="L11" s="129"/>
      <c r="M11" s="129"/>
      <c r="N11" s="129"/>
      <c r="O11" s="129"/>
      <c r="P11" s="130"/>
    </row>
    <row r="12" spans="1:16" x14ac:dyDescent="0.25">
      <c r="A12" s="118"/>
      <c r="B12" s="119"/>
      <c r="C12" s="119"/>
      <c r="D12" s="119"/>
      <c r="E12" s="119"/>
      <c r="F12" s="119"/>
      <c r="G12" s="120"/>
      <c r="H12" s="121"/>
      <c r="I12" s="120"/>
      <c r="J12" s="122"/>
      <c r="K12" s="123"/>
      <c r="L12" s="123"/>
      <c r="M12" s="123"/>
      <c r="N12" s="123"/>
      <c r="O12" s="123"/>
      <c r="P12" s="124"/>
    </row>
    <row r="13" spans="1:16" x14ac:dyDescent="0.25">
      <c r="A13" s="118"/>
      <c r="B13" s="119"/>
      <c r="C13" s="119"/>
      <c r="D13" s="119"/>
      <c r="E13" s="119"/>
      <c r="F13" s="119"/>
      <c r="G13" s="120"/>
      <c r="H13" s="121"/>
      <c r="I13" s="120"/>
      <c r="J13" s="122"/>
      <c r="K13" s="123"/>
      <c r="L13" s="123"/>
      <c r="M13" s="123"/>
      <c r="N13" s="123"/>
      <c r="O13" s="123"/>
      <c r="P13" s="124"/>
    </row>
    <row r="14" spans="1:16" x14ac:dyDescent="0.25">
      <c r="A14" s="118"/>
      <c r="B14" s="119"/>
      <c r="C14" s="119"/>
      <c r="D14" s="119"/>
      <c r="E14" s="119"/>
      <c r="F14" s="119"/>
      <c r="G14" s="120"/>
      <c r="H14" s="121"/>
      <c r="I14" s="120"/>
      <c r="J14" s="122"/>
      <c r="K14" s="123"/>
      <c r="L14" s="123"/>
      <c r="M14" s="123"/>
      <c r="N14" s="123"/>
      <c r="O14" s="123"/>
      <c r="P14" s="124"/>
    </row>
    <row r="15" spans="1:16" x14ac:dyDescent="0.25">
      <c r="A15" s="118"/>
      <c r="B15" s="119"/>
      <c r="C15" s="119"/>
      <c r="D15" s="119"/>
      <c r="E15" s="119"/>
      <c r="F15" s="119"/>
      <c r="G15" s="120"/>
      <c r="H15" s="121"/>
      <c r="I15" s="120"/>
      <c r="J15" s="122"/>
      <c r="K15" s="123"/>
      <c r="L15" s="123"/>
      <c r="M15" s="123"/>
      <c r="N15" s="123"/>
      <c r="O15" s="123"/>
      <c r="P15" s="124"/>
    </row>
    <row r="16" spans="1:16" ht="15.75" thickBot="1" x14ac:dyDescent="0.3">
      <c r="A16" s="125"/>
      <c r="B16" s="109"/>
      <c r="C16" s="109"/>
      <c r="D16" s="109"/>
      <c r="E16" s="109"/>
      <c r="F16" s="109"/>
      <c r="G16" s="126"/>
      <c r="H16" s="127"/>
      <c r="I16" s="126"/>
      <c r="J16" s="128"/>
      <c r="K16" s="116"/>
      <c r="L16" s="116"/>
      <c r="M16" s="116"/>
      <c r="N16" s="116"/>
      <c r="O16" s="116"/>
      <c r="P16" s="117"/>
    </row>
    <row r="17" spans="1:17" ht="15.75" thickBot="1" x14ac:dyDescent="0.3">
      <c r="A17" s="100"/>
      <c r="B17" s="100"/>
      <c r="C17" s="100"/>
      <c r="D17" s="100"/>
      <c r="E17" s="100"/>
      <c r="F17" s="100"/>
      <c r="G17" s="100"/>
      <c r="H17" s="100"/>
      <c r="I17" s="100"/>
      <c r="J17" s="100"/>
      <c r="K17" s="100"/>
      <c r="L17" s="100"/>
      <c r="M17" s="100"/>
      <c r="N17" s="100"/>
      <c r="O17" s="100"/>
      <c r="P17" s="100"/>
    </row>
    <row r="18" spans="1:17" x14ac:dyDescent="0.25">
      <c r="A18" s="101" t="s">
        <v>23</v>
      </c>
      <c r="B18" s="102"/>
      <c r="C18" s="102"/>
      <c r="D18" s="103"/>
      <c r="E18" s="103"/>
      <c r="F18" s="103"/>
      <c r="G18" s="103"/>
      <c r="H18" s="103"/>
      <c r="I18" s="103"/>
      <c r="J18" s="104" t="s">
        <v>25</v>
      </c>
      <c r="K18" s="105"/>
      <c r="L18" s="103"/>
      <c r="M18" s="103"/>
      <c r="N18" s="103"/>
      <c r="O18" s="103"/>
      <c r="P18" s="106"/>
    </row>
    <row r="19" spans="1:17" ht="15.75" thickBot="1" x14ac:dyDescent="0.3">
      <c r="A19" s="107" t="s">
        <v>24</v>
      </c>
      <c r="B19" s="108"/>
      <c r="C19" s="108"/>
      <c r="D19" s="109"/>
      <c r="E19" s="109"/>
      <c r="F19" s="109"/>
      <c r="G19" s="109"/>
      <c r="H19" s="109"/>
      <c r="I19" s="109"/>
      <c r="J19" s="108" t="s">
        <v>26</v>
      </c>
      <c r="K19" s="108"/>
      <c r="L19" s="109"/>
      <c r="M19" s="109"/>
      <c r="N19" s="109"/>
      <c r="O19" s="109"/>
      <c r="P19" s="110"/>
    </row>
    <row r="20" spans="1:17" ht="15.75" thickBot="1" x14ac:dyDescent="0.3">
      <c r="A20" s="100"/>
      <c r="B20" s="100"/>
      <c r="C20" s="100"/>
      <c r="D20" s="100"/>
      <c r="E20" s="100"/>
      <c r="F20" s="100"/>
      <c r="G20" s="100"/>
      <c r="H20" s="100"/>
      <c r="I20" s="100"/>
      <c r="J20" s="100"/>
      <c r="K20" s="100"/>
      <c r="L20" s="100"/>
      <c r="M20" s="100"/>
      <c r="N20" s="100"/>
      <c r="O20" s="100"/>
      <c r="P20" s="100"/>
    </row>
    <row r="21" spans="1:17" ht="15.75" thickBot="1" x14ac:dyDescent="0.3">
      <c r="A21" s="111" t="s">
        <v>27</v>
      </c>
      <c r="B21" s="112"/>
      <c r="C21" s="112" t="s">
        <v>28</v>
      </c>
      <c r="D21" s="112"/>
      <c r="E21" s="112"/>
      <c r="F21" s="112"/>
      <c r="G21" s="112"/>
      <c r="H21" s="112"/>
      <c r="I21" s="112"/>
      <c r="J21" s="112"/>
      <c r="K21" s="112"/>
      <c r="L21" s="112"/>
      <c r="M21" s="112"/>
      <c r="N21" s="112"/>
      <c r="O21" s="112"/>
      <c r="P21" s="113"/>
      <c r="Q21" s="7"/>
    </row>
    <row r="22" spans="1:17" ht="30" customHeight="1" x14ac:dyDescent="0.25">
      <c r="A22" s="114">
        <v>42121</v>
      </c>
      <c r="B22" s="115"/>
      <c r="C22" s="91" t="s">
        <v>238</v>
      </c>
      <c r="D22" s="91"/>
      <c r="E22" s="91"/>
      <c r="F22" s="91"/>
      <c r="G22" s="91"/>
      <c r="H22" s="91"/>
      <c r="I22" s="91"/>
      <c r="J22" s="91"/>
      <c r="K22" s="91"/>
      <c r="L22" s="91"/>
      <c r="M22" s="91"/>
      <c r="N22" s="91"/>
      <c r="O22" s="91"/>
      <c r="P22" s="92"/>
      <c r="Q22" s="7"/>
    </row>
    <row r="23" spans="1:17" ht="30" customHeight="1" x14ac:dyDescent="0.25">
      <c r="A23" s="89"/>
      <c r="B23" s="90"/>
      <c r="C23" s="97"/>
      <c r="D23" s="98"/>
      <c r="E23" s="98"/>
      <c r="F23" s="98"/>
      <c r="G23" s="98"/>
      <c r="H23" s="98"/>
      <c r="I23" s="98"/>
      <c r="J23" s="98"/>
      <c r="K23" s="98"/>
      <c r="L23" s="98"/>
      <c r="M23" s="98"/>
      <c r="N23" s="98"/>
      <c r="O23" s="98"/>
      <c r="P23" s="99"/>
      <c r="Q23" s="7"/>
    </row>
    <row r="24" spans="1:17" ht="30" customHeight="1" x14ac:dyDescent="0.25">
      <c r="A24" s="89"/>
      <c r="B24" s="90"/>
      <c r="C24" s="91"/>
      <c r="D24" s="91"/>
      <c r="E24" s="91"/>
      <c r="F24" s="91"/>
      <c r="G24" s="91"/>
      <c r="H24" s="91"/>
      <c r="I24" s="91"/>
      <c r="J24" s="91"/>
      <c r="K24" s="91"/>
      <c r="L24" s="91"/>
      <c r="M24" s="91"/>
      <c r="N24" s="91"/>
      <c r="O24" s="91"/>
      <c r="P24" s="92"/>
      <c r="Q24" s="7"/>
    </row>
    <row r="25" spans="1:17" ht="30" customHeight="1" x14ac:dyDescent="0.25">
      <c r="A25" s="89"/>
      <c r="B25" s="90"/>
      <c r="C25" s="91"/>
      <c r="D25" s="91"/>
      <c r="E25" s="91"/>
      <c r="F25" s="91"/>
      <c r="G25" s="91"/>
      <c r="H25" s="91"/>
      <c r="I25" s="91"/>
      <c r="J25" s="91"/>
      <c r="K25" s="91"/>
      <c r="L25" s="91"/>
      <c r="M25" s="91"/>
      <c r="N25" s="91"/>
      <c r="O25" s="91"/>
      <c r="P25" s="92"/>
    </row>
    <row r="26" spans="1:17" ht="30" customHeight="1" thickBot="1" x14ac:dyDescent="0.3">
      <c r="A26" s="93"/>
      <c r="B26" s="94"/>
      <c r="C26" s="95"/>
      <c r="D26" s="95"/>
      <c r="E26" s="95"/>
      <c r="F26" s="95"/>
      <c r="G26" s="95"/>
      <c r="H26" s="95"/>
      <c r="I26" s="95"/>
      <c r="J26" s="95"/>
      <c r="K26" s="95"/>
      <c r="L26" s="95"/>
      <c r="M26" s="95"/>
      <c r="N26" s="95"/>
      <c r="O26" s="95"/>
      <c r="P26" s="96"/>
    </row>
  </sheetData>
  <mergeCells count="86">
    <mergeCell ref="A1:P1"/>
    <mergeCell ref="A2:P2"/>
    <mergeCell ref="B3:H3"/>
    <mergeCell ref="I3:J3"/>
    <mergeCell ref="K3:L3"/>
    <mergeCell ref="M3:P3"/>
    <mergeCell ref="N7:P7"/>
    <mergeCell ref="B4:H4"/>
    <mergeCell ref="I4:J4"/>
    <mergeCell ref="K4:L4"/>
    <mergeCell ref="O4:P4"/>
    <mergeCell ref="G5:H5"/>
    <mergeCell ref="I5:J5"/>
    <mergeCell ref="K5:L5"/>
    <mergeCell ref="O5:P5"/>
    <mergeCell ref="A7:B7"/>
    <mergeCell ref="C7:F7"/>
    <mergeCell ref="G7:H7"/>
    <mergeCell ref="I7:K7"/>
    <mergeCell ref="L7:M7"/>
    <mergeCell ref="A8:P8"/>
    <mergeCell ref="A9:P9"/>
    <mergeCell ref="A10:B10"/>
    <mergeCell ref="C10:D10"/>
    <mergeCell ref="E10:F10"/>
    <mergeCell ref="G10:H10"/>
    <mergeCell ref="I10:J10"/>
    <mergeCell ref="K10:P10"/>
    <mergeCell ref="K12:P12"/>
    <mergeCell ref="A11:B11"/>
    <mergeCell ref="C11:D11"/>
    <mergeCell ref="E11:F11"/>
    <mergeCell ref="G11:H11"/>
    <mergeCell ref="I11:J11"/>
    <mergeCell ref="K11:P11"/>
    <mergeCell ref="A12:B12"/>
    <mergeCell ref="C12:D12"/>
    <mergeCell ref="E12:F12"/>
    <mergeCell ref="G12:H12"/>
    <mergeCell ref="I12:J12"/>
    <mergeCell ref="K14:P14"/>
    <mergeCell ref="A13:B13"/>
    <mergeCell ref="C13:D13"/>
    <mergeCell ref="E13:F13"/>
    <mergeCell ref="G13:H13"/>
    <mergeCell ref="I13:J13"/>
    <mergeCell ref="K13:P13"/>
    <mergeCell ref="A14:B14"/>
    <mergeCell ref="C14:D14"/>
    <mergeCell ref="E14:F14"/>
    <mergeCell ref="G14:H14"/>
    <mergeCell ref="I14:J14"/>
    <mergeCell ref="K16:P16"/>
    <mergeCell ref="A15:B15"/>
    <mergeCell ref="C15:D15"/>
    <mergeCell ref="E15:F15"/>
    <mergeCell ref="G15:H15"/>
    <mergeCell ref="I15:J15"/>
    <mergeCell ref="K15:P15"/>
    <mergeCell ref="A16:B16"/>
    <mergeCell ref="C16:D16"/>
    <mergeCell ref="E16:F16"/>
    <mergeCell ref="G16:H16"/>
    <mergeCell ref="I16:J16"/>
    <mergeCell ref="A23:B23"/>
    <mergeCell ref="C23:P23"/>
    <mergeCell ref="A17:P17"/>
    <mergeCell ref="A18:C18"/>
    <mergeCell ref="D18:I18"/>
    <mergeCell ref="J18:K18"/>
    <mergeCell ref="L18:P18"/>
    <mergeCell ref="A19:C19"/>
    <mergeCell ref="D19:I19"/>
    <mergeCell ref="J19:K19"/>
    <mergeCell ref="L19:P19"/>
    <mergeCell ref="A20:P20"/>
    <mergeCell ref="A21:B21"/>
    <mergeCell ref="C21:P21"/>
    <mergeCell ref="A22:B22"/>
    <mergeCell ref="C22:P22"/>
    <mergeCell ref="A24:B24"/>
    <mergeCell ref="C24:P24"/>
    <mergeCell ref="A25:B25"/>
    <mergeCell ref="C25:P25"/>
    <mergeCell ref="A26:B26"/>
    <mergeCell ref="C26:P26"/>
  </mergeCells>
  <hyperlinks>
    <hyperlink ref="K11" r:id="rId1"/>
  </hyperlinks>
  <pageMargins left="0.25" right="0.25" top="0.75" bottom="0.75" header="0.3" footer="0.3"/>
  <pageSetup paperSize="9" orientation="landscape" horizontalDpi="0" verticalDpi="0"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4"/>
  <dimension ref="A1:Q26"/>
  <sheetViews>
    <sheetView tabSelected="1" zoomScale="115" zoomScaleNormal="115" workbookViewId="0">
      <selection activeCell="M5" sqref="M5:N5"/>
    </sheetView>
  </sheetViews>
  <sheetFormatPr baseColWidth="10" defaultColWidth="9.140625" defaultRowHeight="15" x14ac:dyDescent="0.25"/>
  <cols>
    <col min="1" max="16" width="8.7109375" style="1" customWidth="1"/>
    <col min="17" max="16384" width="9.140625" style="1"/>
  </cols>
  <sheetData>
    <row r="1" spans="1:16" ht="28.5" x14ac:dyDescent="0.25">
      <c r="A1" s="150" t="s">
        <v>239</v>
      </c>
      <c r="B1" s="150"/>
      <c r="C1" s="150"/>
      <c r="D1" s="150"/>
      <c r="E1" s="150"/>
      <c r="F1" s="150"/>
      <c r="G1" s="150"/>
      <c r="H1" s="150"/>
      <c r="I1" s="150"/>
      <c r="J1" s="150"/>
      <c r="K1" s="150"/>
      <c r="L1" s="150"/>
      <c r="M1" s="150"/>
      <c r="N1" s="150"/>
      <c r="O1" s="150"/>
      <c r="P1" s="150"/>
    </row>
    <row r="2" spans="1:16" ht="23.25" customHeight="1" thickBot="1" x14ac:dyDescent="0.3">
      <c r="A2" s="151"/>
      <c r="B2" s="151"/>
      <c r="C2" s="151"/>
      <c r="D2" s="151"/>
      <c r="E2" s="151"/>
      <c r="F2" s="151"/>
      <c r="G2" s="151"/>
      <c r="H2" s="151"/>
      <c r="I2" s="151"/>
      <c r="J2" s="151"/>
      <c r="K2" s="151"/>
      <c r="L2" s="151"/>
      <c r="M2" s="151"/>
      <c r="N2" s="151"/>
      <c r="O2" s="151"/>
      <c r="P2" s="151"/>
    </row>
    <row r="3" spans="1:16" x14ac:dyDescent="0.25">
      <c r="A3" s="2" t="s">
        <v>1</v>
      </c>
      <c r="B3" s="103" t="s">
        <v>240</v>
      </c>
      <c r="C3" s="103"/>
      <c r="D3" s="103"/>
      <c r="E3" s="103"/>
      <c r="F3" s="103"/>
      <c r="G3" s="103"/>
      <c r="H3" s="152"/>
      <c r="I3" s="101" t="s">
        <v>6</v>
      </c>
      <c r="J3" s="102"/>
      <c r="K3" s="153" t="s">
        <v>37</v>
      </c>
      <c r="L3" s="154"/>
      <c r="M3" s="101" t="s">
        <v>9</v>
      </c>
      <c r="N3" s="102"/>
      <c r="O3" s="102"/>
      <c r="P3" s="137"/>
    </row>
    <row r="4" spans="1:16" x14ac:dyDescent="0.25">
      <c r="A4" s="3" t="s">
        <v>2</v>
      </c>
      <c r="B4" s="119" t="s">
        <v>241</v>
      </c>
      <c r="C4" s="119"/>
      <c r="D4" s="119"/>
      <c r="E4" s="119"/>
      <c r="F4" s="119"/>
      <c r="G4" s="119"/>
      <c r="H4" s="141"/>
      <c r="I4" s="142" t="s">
        <v>7</v>
      </c>
      <c r="J4" s="143"/>
      <c r="K4" s="144">
        <v>15</v>
      </c>
      <c r="L4" s="145"/>
      <c r="M4" s="25" t="s">
        <v>10</v>
      </c>
      <c r="N4" s="26" t="s">
        <v>76</v>
      </c>
      <c r="O4" s="143" t="s">
        <v>11</v>
      </c>
      <c r="P4" s="146"/>
    </row>
    <row r="5" spans="1:16" ht="15.75" thickBot="1" x14ac:dyDescent="0.3">
      <c r="A5" s="4" t="s">
        <v>480</v>
      </c>
      <c r="B5" s="71" t="s">
        <v>525</v>
      </c>
      <c r="C5" s="5" t="s">
        <v>481</v>
      </c>
      <c r="D5" s="70" t="s">
        <v>526</v>
      </c>
      <c r="E5" s="74"/>
      <c r="F5" s="5" t="s">
        <v>12</v>
      </c>
      <c r="G5" s="147">
        <v>134066000</v>
      </c>
      <c r="H5" s="126"/>
      <c r="I5" s="107" t="s">
        <v>8</v>
      </c>
      <c r="J5" s="108"/>
      <c r="K5" s="148">
        <v>318</v>
      </c>
      <c r="L5" s="149"/>
      <c r="M5" s="28"/>
      <c r="N5" s="27"/>
      <c r="O5" s="148">
        <v>300</v>
      </c>
      <c r="P5" s="149"/>
    </row>
    <row r="6" spans="1:16" ht="15.75" thickBot="1" x14ac:dyDescent="0.3">
      <c r="A6" s="12"/>
      <c r="B6" s="12"/>
      <c r="C6" s="12"/>
      <c r="D6" s="12"/>
      <c r="E6" s="12"/>
      <c r="F6" s="12"/>
      <c r="G6" s="12"/>
      <c r="H6" s="12"/>
      <c r="I6" s="12"/>
      <c r="J6" s="12"/>
      <c r="K6" s="12"/>
      <c r="L6" s="12"/>
      <c r="M6" s="12"/>
      <c r="N6" s="12"/>
      <c r="O6" s="12"/>
      <c r="P6" s="12"/>
    </row>
    <row r="7" spans="1:16" ht="15.75" thickBot="1" x14ac:dyDescent="0.3">
      <c r="A7" s="138" t="s">
        <v>31</v>
      </c>
      <c r="B7" s="139"/>
      <c r="C7" s="131"/>
      <c r="D7" s="131"/>
      <c r="E7" s="131"/>
      <c r="F7" s="131"/>
      <c r="G7" s="139" t="s">
        <v>32</v>
      </c>
      <c r="H7" s="139"/>
      <c r="I7" s="140"/>
      <c r="J7" s="140"/>
      <c r="K7" s="140"/>
      <c r="L7" s="139" t="s">
        <v>33</v>
      </c>
      <c r="M7" s="139"/>
      <c r="N7" s="131"/>
      <c r="O7" s="131"/>
      <c r="P7" s="132"/>
    </row>
    <row r="8" spans="1:16" ht="15.75" thickBot="1" x14ac:dyDescent="0.3">
      <c r="A8" s="133"/>
      <c r="B8" s="133"/>
      <c r="C8" s="133"/>
      <c r="D8" s="133"/>
      <c r="E8" s="133"/>
      <c r="F8" s="133"/>
      <c r="G8" s="133"/>
      <c r="H8" s="133"/>
      <c r="I8" s="133"/>
      <c r="J8" s="133"/>
      <c r="K8" s="133"/>
      <c r="L8" s="133"/>
      <c r="M8" s="133"/>
      <c r="N8" s="133"/>
      <c r="O8" s="133"/>
      <c r="P8" s="133"/>
    </row>
    <row r="9" spans="1:16" ht="15.75" thickBot="1" x14ac:dyDescent="0.3">
      <c r="A9" s="111" t="s">
        <v>13</v>
      </c>
      <c r="B9" s="112"/>
      <c r="C9" s="112"/>
      <c r="D9" s="112"/>
      <c r="E9" s="112"/>
      <c r="F9" s="112"/>
      <c r="G9" s="112"/>
      <c r="H9" s="112"/>
      <c r="I9" s="112"/>
      <c r="J9" s="112"/>
      <c r="K9" s="112"/>
      <c r="L9" s="112"/>
      <c r="M9" s="112"/>
      <c r="N9" s="112"/>
      <c r="O9" s="112"/>
      <c r="P9" s="113"/>
    </row>
    <row r="10" spans="1:16" s="6" customFormat="1" x14ac:dyDescent="0.25">
      <c r="A10" s="134" t="s">
        <v>1</v>
      </c>
      <c r="B10" s="135"/>
      <c r="C10" s="135" t="s">
        <v>3</v>
      </c>
      <c r="D10" s="135"/>
      <c r="E10" s="135" t="s">
        <v>4</v>
      </c>
      <c r="F10" s="135"/>
      <c r="G10" s="104" t="s">
        <v>20</v>
      </c>
      <c r="H10" s="105"/>
      <c r="I10" s="104" t="s">
        <v>21</v>
      </c>
      <c r="J10" s="136"/>
      <c r="K10" s="102" t="s">
        <v>5</v>
      </c>
      <c r="L10" s="102"/>
      <c r="M10" s="102"/>
      <c r="N10" s="102"/>
      <c r="O10" s="102"/>
      <c r="P10" s="137"/>
    </row>
    <row r="11" spans="1:16" x14ac:dyDescent="0.25">
      <c r="A11" s="118" t="s">
        <v>242</v>
      </c>
      <c r="B11" s="119"/>
      <c r="C11" s="119" t="s">
        <v>209</v>
      </c>
      <c r="D11" s="119"/>
      <c r="E11" s="119" t="s">
        <v>71</v>
      </c>
      <c r="F11" s="119"/>
      <c r="G11" s="120">
        <v>134066194</v>
      </c>
      <c r="H11" s="121"/>
      <c r="I11" s="120"/>
      <c r="J11" s="122"/>
      <c r="K11" s="129" t="s">
        <v>243</v>
      </c>
      <c r="L11" s="129"/>
      <c r="M11" s="129"/>
      <c r="N11" s="129"/>
      <c r="O11" s="129"/>
      <c r="P11" s="130"/>
    </row>
    <row r="12" spans="1:16" x14ac:dyDescent="0.25">
      <c r="A12" s="118"/>
      <c r="B12" s="119"/>
      <c r="C12" s="119"/>
      <c r="D12" s="119"/>
      <c r="E12" s="119"/>
      <c r="F12" s="119"/>
      <c r="G12" s="120"/>
      <c r="H12" s="121"/>
      <c r="I12" s="120"/>
      <c r="J12" s="122"/>
      <c r="K12" s="123"/>
      <c r="L12" s="123"/>
      <c r="M12" s="123"/>
      <c r="N12" s="123"/>
      <c r="O12" s="123"/>
      <c r="P12" s="124"/>
    </row>
    <row r="13" spans="1:16" x14ac:dyDescent="0.25">
      <c r="A13" s="118"/>
      <c r="B13" s="119"/>
      <c r="C13" s="119"/>
      <c r="D13" s="119"/>
      <c r="E13" s="119"/>
      <c r="F13" s="119"/>
      <c r="G13" s="120"/>
      <c r="H13" s="121"/>
      <c r="I13" s="120"/>
      <c r="J13" s="122"/>
      <c r="K13" s="123"/>
      <c r="L13" s="123"/>
      <c r="M13" s="123"/>
      <c r="N13" s="123"/>
      <c r="O13" s="123"/>
      <c r="P13" s="124"/>
    </row>
    <row r="14" spans="1:16" x14ac:dyDescent="0.25">
      <c r="A14" s="118"/>
      <c r="B14" s="119"/>
      <c r="C14" s="119"/>
      <c r="D14" s="119"/>
      <c r="E14" s="119"/>
      <c r="F14" s="119"/>
      <c r="G14" s="120"/>
      <c r="H14" s="121"/>
      <c r="I14" s="120"/>
      <c r="J14" s="122"/>
      <c r="K14" s="123"/>
      <c r="L14" s="123"/>
      <c r="M14" s="123"/>
      <c r="N14" s="123"/>
      <c r="O14" s="123"/>
      <c r="P14" s="124"/>
    </row>
    <row r="15" spans="1:16" x14ac:dyDescent="0.25">
      <c r="A15" s="118"/>
      <c r="B15" s="119"/>
      <c r="C15" s="119"/>
      <c r="D15" s="119"/>
      <c r="E15" s="119"/>
      <c r="F15" s="119"/>
      <c r="G15" s="120"/>
      <c r="H15" s="121"/>
      <c r="I15" s="120"/>
      <c r="J15" s="122"/>
      <c r="K15" s="123"/>
      <c r="L15" s="123"/>
      <c r="M15" s="123"/>
      <c r="N15" s="123"/>
      <c r="O15" s="123"/>
      <c r="P15" s="124"/>
    </row>
    <row r="16" spans="1:16" ht="15.75" thickBot="1" x14ac:dyDescent="0.3">
      <c r="A16" s="125"/>
      <c r="B16" s="109"/>
      <c r="C16" s="109"/>
      <c r="D16" s="109"/>
      <c r="E16" s="109"/>
      <c r="F16" s="109"/>
      <c r="G16" s="126"/>
      <c r="H16" s="127"/>
      <c r="I16" s="126"/>
      <c r="J16" s="128"/>
      <c r="K16" s="116"/>
      <c r="L16" s="116"/>
      <c r="M16" s="116"/>
      <c r="N16" s="116"/>
      <c r="O16" s="116"/>
      <c r="P16" s="117"/>
    </row>
    <row r="17" spans="1:17" ht="15.75" thickBot="1" x14ac:dyDescent="0.3">
      <c r="A17" s="100"/>
      <c r="B17" s="100"/>
      <c r="C17" s="100"/>
      <c r="D17" s="100"/>
      <c r="E17" s="100"/>
      <c r="F17" s="100"/>
      <c r="G17" s="100"/>
      <c r="H17" s="100"/>
      <c r="I17" s="100"/>
      <c r="J17" s="100"/>
      <c r="K17" s="100"/>
      <c r="L17" s="100"/>
      <c r="M17" s="100"/>
      <c r="N17" s="100"/>
      <c r="O17" s="100"/>
      <c r="P17" s="100"/>
    </row>
    <row r="18" spans="1:17" x14ac:dyDescent="0.25">
      <c r="A18" s="101" t="s">
        <v>23</v>
      </c>
      <c r="B18" s="102"/>
      <c r="C18" s="102"/>
      <c r="D18" s="103"/>
      <c r="E18" s="103"/>
      <c r="F18" s="103"/>
      <c r="G18" s="103"/>
      <c r="H18" s="103"/>
      <c r="I18" s="103"/>
      <c r="J18" s="104" t="s">
        <v>25</v>
      </c>
      <c r="K18" s="105"/>
      <c r="L18" s="103"/>
      <c r="M18" s="103"/>
      <c r="N18" s="103"/>
      <c r="O18" s="103"/>
      <c r="P18" s="106"/>
    </row>
    <row r="19" spans="1:17" ht="15.75" thickBot="1" x14ac:dyDescent="0.3">
      <c r="A19" s="107" t="s">
        <v>24</v>
      </c>
      <c r="B19" s="108"/>
      <c r="C19" s="108"/>
      <c r="D19" s="109"/>
      <c r="E19" s="109"/>
      <c r="F19" s="109"/>
      <c r="G19" s="109"/>
      <c r="H19" s="109"/>
      <c r="I19" s="109"/>
      <c r="J19" s="108" t="s">
        <v>26</v>
      </c>
      <c r="K19" s="108"/>
      <c r="L19" s="109"/>
      <c r="M19" s="109"/>
      <c r="N19" s="109"/>
      <c r="O19" s="109"/>
      <c r="P19" s="110"/>
    </row>
    <row r="20" spans="1:17" ht="15.75" thickBot="1" x14ac:dyDescent="0.3">
      <c r="A20" s="100"/>
      <c r="B20" s="100"/>
      <c r="C20" s="100"/>
      <c r="D20" s="100"/>
      <c r="E20" s="100"/>
      <c r="F20" s="100"/>
      <c r="G20" s="100"/>
      <c r="H20" s="100"/>
      <c r="I20" s="100"/>
      <c r="J20" s="100"/>
      <c r="K20" s="100"/>
      <c r="L20" s="100"/>
      <c r="M20" s="100"/>
      <c r="N20" s="100"/>
      <c r="O20" s="100"/>
      <c r="P20" s="100"/>
    </row>
    <row r="21" spans="1:17" ht="15.75" thickBot="1" x14ac:dyDescent="0.3">
      <c r="A21" s="111" t="s">
        <v>27</v>
      </c>
      <c r="B21" s="112"/>
      <c r="C21" s="112" t="s">
        <v>28</v>
      </c>
      <c r="D21" s="112"/>
      <c r="E21" s="112"/>
      <c r="F21" s="112"/>
      <c r="G21" s="112"/>
      <c r="H21" s="112"/>
      <c r="I21" s="112"/>
      <c r="J21" s="112"/>
      <c r="K21" s="112"/>
      <c r="L21" s="112"/>
      <c r="M21" s="112"/>
      <c r="N21" s="112"/>
      <c r="O21" s="112"/>
      <c r="P21" s="113"/>
      <c r="Q21" s="7"/>
    </row>
    <row r="22" spans="1:17" ht="30" customHeight="1" x14ac:dyDescent="0.25">
      <c r="A22" s="114">
        <v>42121</v>
      </c>
      <c r="B22" s="115"/>
      <c r="C22" s="91" t="s">
        <v>244</v>
      </c>
      <c r="D22" s="91"/>
      <c r="E22" s="91"/>
      <c r="F22" s="91"/>
      <c r="G22" s="91"/>
      <c r="H22" s="91"/>
      <c r="I22" s="91"/>
      <c r="J22" s="91"/>
      <c r="K22" s="91"/>
      <c r="L22" s="91"/>
      <c r="M22" s="91"/>
      <c r="N22" s="91"/>
      <c r="O22" s="91"/>
      <c r="P22" s="92"/>
      <c r="Q22" s="7"/>
    </row>
    <row r="23" spans="1:17" ht="30" customHeight="1" x14ac:dyDescent="0.25">
      <c r="A23" s="89"/>
      <c r="B23" s="90"/>
      <c r="C23" s="97"/>
      <c r="D23" s="98"/>
      <c r="E23" s="98"/>
      <c r="F23" s="98"/>
      <c r="G23" s="98"/>
      <c r="H23" s="98"/>
      <c r="I23" s="98"/>
      <c r="J23" s="98"/>
      <c r="K23" s="98"/>
      <c r="L23" s="98"/>
      <c r="M23" s="98"/>
      <c r="N23" s="98"/>
      <c r="O23" s="98"/>
      <c r="P23" s="99"/>
      <c r="Q23" s="7"/>
    </row>
    <row r="24" spans="1:17" ht="30" customHeight="1" x14ac:dyDescent="0.25">
      <c r="A24" s="89"/>
      <c r="B24" s="90"/>
      <c r="C24" s="91"/>
      <c r="D24" s="91"/>
      <c r="E24" s="91"/>
      <c r="F24" s="91"/>
      <c r="G24" s="91"/>
      <c r="H24" s="91"/>
      <c r="I24" s="91"/>
      <c r="J24" s="91"/>
      <c r="K24" s="91"/>
      <c r="L24" s="91"/>
      <c r="M24" s="91"/>
      <c r="N24" s="91"/>
      <c r="O24" s="91"/>
      <c r="P24" s="92"/>
      <c r="Q24" s="7"/>
    </row>
    <row r="25" spans="1:17" ht="30" customHeight="1" x14ac:dyDescent="0.25">
      <c r="A25" s="89"/>
      <c r="B25" s="90"/>
      <c r="C25" s="91"/>
      <c r="D25" s="91"/>
      <c r="E25" s="91"/>
      <c r="F25" s="91"/>
      <c r="G25" s="91"/>
      <c r="H25" s="91"/>
      <c r="I25" s="91"/>
      <c r="J25" s="91"/>
      <c r="K25" s="91"/>
      <c r="L25" s="91"/>
      <c r="M25" s="91"/>
      <c r="N25" s="91"/>
      <c r="O25" s="91"/>
      <c r="P25" s="92"/>
    </row>
    <row r="26" spans="1:17" ht="30" customHeight="1" thickBot="1" x14ac:dyDescent="0.3">
      <c r="A26" s="93"/>
      <c r="B26" s="94"/>
      <c r="C26" s="95"/>
      <c r="D26" s="95"/>
      <c r="E26" s="95"/>
      <c r="F26" s="95"/>
      <c r="G26" s="95"/>
      <c r="H26" s="95"/>
      <c r="I26" s="95"/>
      <c r="J26" s="95"/>
      <c r="K26" s="95"/>
      <c r="L26" s="95"/>
      <c r="M26" s="95"/>
      <c r="N26" s="95"/>
      <c r="O26" s="95"/>
      <c r="P26" s="96"/>
    </row>
  </sheetData>
  <mergeCells count="86">
    <mergeCell ref="A1:P1"/>
    <mergeCell ref="A2:P2"/>
    <mergeCell ref="B3:H3"/>
    <mergeCell ref="I3:J3"/>
    <mergeCell ref="K3:L3"/>
    <mergeCell ref="M3:P3"/>
    <mergeCell ref="N7:P7"/>
    <mergeCell ref="B4:H4"/>
    <mergeCell ref="I4:J4"/>
    <mergeCell ref="K4:L4"/>
    <mergeCell ref="O4:P4"/>
    <mergeCell ref="G5:H5"/>
    <mergeCell ref="I5:J5"/>
    <mergeCell ref="K5:L5"/>
    <mergeCell ref="O5:P5"/>
    <mergeCell ref="A7:B7"/>
    <mergeCell ref="C7:F7"/>
    <mergeCell ref="G7:H7"/>
    <mergeCell ref="I7:K7"/>
    <mergeCell ref="L7:M7"/>
    <mergeCell ref="A8:P8"/>
    <mergeCell ref="A9:P9"/>
    <mergeCell ref="A10:B10"/>
    <mergeCell ref="C10:D10"/>
    <mergeCell ref="E10:F10"/>
    <mergeCell ref="G10:H10"/>
    <mergeCell ref="I10:J10"/>
    <mergeCell ref="K10:P10"/>
    <mergeCell ref="K12:P12"/>
    <mergeCell ref="A11:B11"/>
    <mergeCell ref="C11:D11"/>
    <mergeCell ref="E11:F11"/>
    <mergeCell ref="G11:H11"/>
    <mergeCell ref="I11:J11"/>
    <mergeCell ref="K11:P11"/>
    <mergeCell ref="A12:B12"/>
    <mergeCell ref="C12:D12"/>
    <mergeCell ref="E12:F12"/>
    <mergeCell ref="G12:H12"/>
    <mergeCell ref="I12:J12"/>
    <mergeCell ref="K14:P14"/>
    <mergeCell ref="A13:B13"/>
    <mergeCell ref="C13:D13"/>
    <mergeCell ref="E13:F13"/>
    <mergeCell ref="G13:H13"/>
    <mergeCell ref="I13:J13"/>
    <mergeCell ref="K13:P13"/>
    <mergeCell ref="A14:B14"/>
    <mergeCell ref="C14:D14"/>
    <mergeCell ref="E14:F14"/>
    <mergeCell ref="G14:H14"/>
    <mergeCell ref="I14:J14"/>
    <mergeCell ref="K16:P16"/>
    <mergeCell ref="A15:B15"/>
    <mergeCell ref="C15:D15"/>
    <mergeCell ref="E15:F15"/>
    <mergeCell ref="G15:H15"/>
    <mergeCell ref="I15:J15"/>
    <mergeCell ref="K15:P15"/>
    <mergeCell ref="A16:B16"/>
    <mergeCell ref="C16:D16"/>
    <mergeCell ref="E16:F16"/>
    <mergeCell ref="G16:H16"/>
    <mergeCell ref="I16:J16"/>
    <mergeCell ref="A23:B23"/>
    <mergeCell ref="C23:P23"/>
    <mergeCell ref="A17:P17"/>
    <mergeCell ref="A18:C18"/>
    <mergeCell ref="D18:I18"/>
    <mergeCell ref="J18:K18"/>
    <mergeCell ref="L18:P18"/>
    <mergeCell ref="A19:C19"/>
    <mergeCell ref="D19:I19"/>
    <mergeCell ref="J19:K19"/>
    <mergeCell ref="L19:P19"/>
    <mergeCell ref="A20:P20"/>
    <mergeCell ref="A21:B21"/>
    <mergeCell ref="C21:P21"/>
    <mergeCell ref="A22:B22"/>
    <mergeCell ref="C22:P22"/>
    <mergeCell ref="A24:B24"/>
    <mergeCell ref="C24:P24"/>
    <mergeCell ref="A25:B25"/>
    <mergeCell ref="C25:P25"/>
    <mergeCell ref="A26:B26"/>
    <mergeCell ref="C26:P26"/>
  </mergeCells>
  <hyperlinks>
    <hyperlink ref="K11" r:id="rId1"/>
  </hyperlinks>
  <pageMargins left="0.25" right="0.25" top="0.75" bottom="0.75" header="0.3" footer="0.3"/>
  <pageSetup paperSize="9" orientation="landscape" horizontalDpi="0" verticalDpi="0"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5"/>
  <dimension ref="A1:Q26"/>
  <sheetViews>
    <sheetView tabSelected="1" zoomScale="115" zoomScaleNormal="115" workbookViewId="0">
      <selection activeCell="M5" sqref="M5:N5"/>
    </sheetView>
  </sheetViews>
  <sheetFormatPr baseColWidth="10" defaultColWidth="9.140625" defaultRowHeight="15" x14ac:dyDescent="0.25"/>
  <cols>
    <col min="1" max="16" width="8.7109375" style="1" customWidth="1"/>
    <col min="17" max="16384" width="9.140625" style="1"/>
  </cols>
  <sheetData>
    <row r="1" spans="1:16" ht="28.5" x14ac:dyDescent="0.25">
      <c r="A1" s="150" t="s">
        <v>245</v>
      </c>
      <c r="B1" s="150"/>
      <c r="C1" s="150"/>
      <c r="D1" s="150"/>
      <c r="E1" s="150"/>
      <c r="F1" s="150"/>
      <c r="G1" s="150"/>
      <c r="H1" s="150"/>
      <c r="I1" s="150"/>
      <c r="J1" s="150"/>
      <c r="K1" s="150"/>
      <c r="L1" s="150"/>
      <c r="M1" s="150"/>
      <c r="N1" s="150"/>
      <c r="O1" s="150"/>
      <c r="P1" s="150"/>
    </row>
    <row r="2" spans="1:16" ht="23.25" customHeight="1" thickBot="1" x14ac:dyDescent="0.3">
      <c r="A2" s="151"/>
      <c r="B2" s="151"/>
      <c r="C2" s="151"/>
      <c r="D2" s="151"/>
      <c r="E2" s="151"/>
      <c r="F2" s="151"/>
      <c r="G2" s="151"/>
      <c r="H2" s="151"/>
      <c r="I2" s="151"/>
      <c r="J2" s="151"/>
      <c r="K2" s="151"/>
      <c r="L2" s="151"/>
      <c r="M2" s="151"/>
      <c r="N2" s="151"/>
      <c r="O2" s="151"/>
      <c r="P2" s="151"/>
    </row>
    <row r="3" spans="1:16" x14ac:dyDescent="0.25">
      <c r="A3" s="2" t="s">
        <v>1</v>
      </c>
      <c r="B3" s="103" t="s">
        <v>246</v>
      </c>
      <c r="C3" s="103"/>
      <c r="D3" s="103"/>
      <c r="E3" s="103"/>
      <c r="F3" s="103"/>
      <c r="G3" s="103"/>
      <c r="H3" s="152"/>
      <c r="I3" s="101" t="s">
        <v>6</v>
      </c>
      <c r="J3" s="102"/>
      <c r="K3" s="153" t="s">
        <v>37</v>
      </c>
      <c r="L3" s="154"/>
      <c r="M3" s="101" t="s">
        <v>9</v>
      </c>
      <c r="N3" s="102"/>
      <c r="O3" s="102"/>
      <c r="P3" s="137"/>
    </row>
    <row r="4" spans="1:16" x14ac:dyDescent="0.25">
      <c r="A4" s="3" t="s">
        <v>2</v>
      </c>
      <c r="B4" s="119" t="s">
        <v>247</v>
      </c>
      <c r="C4" s="119"/>
      <c r="D4" s="119"/>
      <c r="E4" s="119"/>
      <c r="F4" s="119"/>
      <c r="G4" s="119"/>
      <c r="H4" s="141"/>
      <c r="I4" s="142" t="s">
        <v>7</v>
      </c>
      <c r="J4" s="143"/>
      <c r="K4" s="144">
        <v>12</v>
      </c>
      <c r="L4" s="145"/>
      <c r="M4" s="25" t="s">
        <v>10</v>
      </c>
      <c r="N4" s="26" t="s">
        <v>76</v>
      </c>
      <c r="O4" s="143" t="s">
        <v>11</v>
      </c>
      <c r="P4" s="146"/>
    </row>
    <row r="5" spans="1:16" ht="15.75" thickBot="1" x14ac:dyDescent="0.3">
      <c r="A5" s="4" t="s">
        <v>480</v>
      </c>
      <c r="B5" s="71" t="s">
        <v>527</v>
      </c>
      <c r="C5" s="5" t="s">
        <v>481</v>
      </c>
      <c r="D5" s="70" t="s">
        <v>245</v>
      </c>
      <c r="E5" s="74"/>
      <c r="F5" s="5" t="s">
        <v>12</v>
      </c>
      <c r="G5" s="147">
        <v>160741010</v>
      </c>
      <c r="H5" s="126"/>
      <c r="I5" s="107" t="s">
        <v>8</v>
      </c>
      <c r="J5" s="108"/>
      <c r="K5" s="148">
        <v>100</v>
      </c>
      <c r="L5" s="149"/>
      <c r="M5" s="28"/>
      <c r="N5" s="27"/>
      <c r="O5" s="148">
        <v>100</v>
      </c>
      <c r="P5" s="149"/>
    </row>
    <row r="6" spans="1:16" ht="15.75" thickBot="1" x14ac:dyDescent="0.3">
      <c r="A6" s="12"/>
      <c r="B6" s="12"/>
      <c r="C6" s="12"/>
      <c r="D6" s="12"/>
      <c r="E6" s="12"/>
      <c r="F6" s="12"/>
      <c r="G6" s="12"/>
      <c r="H6" s="12"/>
      <c r="I6" s="12"/>
      <c r="J6" s="12"/>
      <c r="K6" s="12"/>
      <c r="L6" s="12"/>
      <c r="M6" s="12"/>
      <c r="N6" s="12"/>
      <c r="O6" s="12"/>
      <c r="P6" s="12"/>
    </row>
    <row r="7" spans="1:16" ht="15.75" thickBot="1" x14ac:dyDescent="0.3">
      <c r="A7" s="138" t="s">
        <v>31</v>
      </c>
      <c r="B7" s="139"/>
      <c r="C7" s="131"/>
      <c r="D7" s="131"/>
      <c r="E7" s="131"/>
      <c r="F7" s="131"/>
      <c r="G7" s="139" t="s">
        <v>32</v>
      </c>
      <c r="H7" s="139"/>
      <c r="I7" s="140"/>
      <c r="J7" s="140"/>
      <c r="K7" s="140"/>
      <c r="L7" s="139" t="s">
        <v>33</v>
      </c>
      <c r="M7" s="139"/>
      <c r="N7" s="131"/>
      <c r="O7" s="131"/>
      <c r="P7" s="132"/>
    </row>
    <row r="8" spans="1:16" ht="15.75" thickBot="1" x14ac:dyDescent="0.3">
      <c r="A8" s="133"/>
      <c r="B8" s="133"/>
      <c r="C8" s="133"/>
      <c r="D8" s="133"/>
      <c r="E8" s="133"/>
      <c r="F8" s="133"/>
      <c r="G8" s="133"/>
      <c r="H8" s="133"/>
      <c r="I8" s="133"/>
      <c r="J8" s="133"/>
      <c r="K8" s="133"/>
      <c r="L8" s="133"/>
      <c r="M8" s="133"/>
      <c r="N8" s="133"/>
      <c r="O8" s="133"/>
      <c r="P8" s="133"/>
    </row>
    <row r="9" spans="1:16" ht="15.75" thickBot="1" x14ac:dyDescent="0.3">
      <c r="A9" s="111" t="s">
        <v>13</v>
      </c>
      <c r="B9" s="112"/>
      <c r="C9" s="112"/>
      <c r="D9" s="112"/>
      <c r="E9" s="112"/>
      <c r="F9" s="112"/>
      <c r="G9" s="112"/>
      <c r="H9" s="112"/>
      <c r="I9" s="112"/>
      <c r="J9" s="112"/>
      <c r="K9" s="112"/>
      <c r="L9" s="112"/>
      <c r="M9" s="112"/>
      <c r="N9" s="112"/>
      <c r="O9" s="112"/>
      <c r="P9" s="113"/>
    </row>
    <row r="10" spans="1:16" s="6" customFormat="1" x14ac:dyDescent="0.25">
      <c r="A10" s="134" t="s">
        <v>1</v>
      </c>
      <c r="B10" s="135"/>
      <c r="C10" s="135" t="s">
        <v>3</v>
      </c>
      <c r="D10" s="135"/>
      <c r="E10" s="135" t="s">
        <v>4</v>
      </c>
      <c r="F10" s="135"/>
      <c r="G10" s="104" t="s">
        <v>20</v>
      </c>
      <c r="H10" s="105"/>
      <c r="I10" s="104" t="s">
        <v>21</v>
      </c>
      <c r="J10" s="136"/>
      <c r="K10" s="102" t="s">
        <v>5</v>
      </c>
      <c r="L10" s="102"/>
      <c r="M10" s="102"/>
      <c r="N10" s="102"/>
      <c r="O10" s="102"/>
      <c r="P10" s="137"/>
    </row>
    <row r="11" spans="1:16" x14ac:dyDescent="0.25">
      <c r="A11" s="118" t="s">
        <v>248</v>
      </c>
      <c r="B11" s="119"/>
      <c r="C11" s="119" t="s">
        <v>249</v>
      </c>
      <c r="D11" s="119"/>
      <c r="E11" s="119" t="s">
        <v>71</v>
      </c>
      <c r="F11" s="119"/>
      <c r="G11" s="120"/>
      <c r="H11" s="121"/>
      <c r="I11" s="120"/>
      <c r="J11" s="122"/>
      <c r="K11" s="129" t="s">
        <v>250</v>
      </c>
      <c r="L11" s="129"/>
      <c r="M11" s="129"/>
      <c r="N11" s="129"/>
      <c r="O11" s="129"/>
      <c r="P11" s="130"/>
    </row>
    <row r="12" spans="1:16" x14ac:dyDescent="0.25">
      <c r="A12" s="118"/>
      <c r="B12" s="119"/>
      <c r="C12" s="119"/>
      <c r="D12" s="119"/>
      <c r="E12" s="119"/>
      <c r="F12" s="119"/>
      <c r="G12" s="120"/>
      <c r="H12" s="121"/>
      <c r="I12" s="120"/>
      <c r="J12" s="122"/>
      <c r="K12" s="123"/>
      <c r="L12" s="123"/>
      <c r="M12" s="123"/>
      <c r="N12" s="123"/>
      <c r="O12" s="123"/>
      <c r="P12" s="124"/>
    </row>
    <row r="13" spans="1:16" x14ac:dyDescent="0.25">
      <c r="A13" s="118"/>
      <c r="B13" s="119"/>
      <c r="C13" s="119"/>
      <c r="D13" s="119"/>
      <c r="E13" s="119"/>
      <c r="F13" s="119"/>
      <c r="G13" s="120"/>
      <c r="H13" s="121"/>
      <c r="I13" s="120"/>
      <c r="J13" s="122"/>
      <c r="K13" s="123"/>
      <c r="L13" s="123"/>
      <c r="M13" s="123"/>
      <c r="N13" s="123"/>
      <c r="O13" s="123"/>
      <c r="P13" s="124"/>
    </row>
    <row r="14" spans="1:16" x14ac:dyDescent="0.25">
      <c r="A14" s="118"/>
      <c r="B14" s="119"/>
      <c r="C14" s="119"/>
      <c r="D14" s="119"/>
      <c r="E14" s="119"/>
      <c r="F14" s="119"/>
      <c r="G14" s="120"/>
      <c r="H14" s="121"/>
      <c r="I14" s="120"/>
      <c r="J14" s="122"/>
      <c r="K14" s="123"/>
      <c r="L14" s="123"/>
      <c r="M14" s="123"/>
      <c r="N14" s="123"/>
      <c r="O14" s="123"/>
      <c r="P14" s="124"/>
    </row>
    <row r="15" spans="1:16" x14ac:dyDescent="0.25">
      <c r="A15" s="118"/>
      <c r="B15" s="119"/>
      <c r="C15" s="119"/>
      <c r="D15" s="119"/>
      <c r="E15" s="119"/>
      <c r="F15" s="119"/>
      <c r="G15" s="120"/>
      <c r="H15" s="121"/>
      <c r="I15" s="120"/>
      <c r="J15" s="122"/>
      <c r="K15" s="123"/>
      <c r="L15" s="123"/>
      <c r="M15" s="123"/>
      <c r="N15" s="123"/>
      <c r="O15" s="123"/>
      <c r="P15" s="124"/>
    </row>
    <row r="16" spans="1:16" ht="15.75" thickBot="1" x14ac:dyDescent="0.3">
      <c r="A16" s="125"/>
      <c r="B16" s="109"/>
      <c r="C16" s="109"/>
      <c r="D16" s="109"/>
      <c r="E16" s="109"/>
      <c r="F16" s="109"/>
      <c r="G16" s="126"/>
      <c r="H16" s="127"/>
      <c r="I16" s="126"/>
      <c r="J16" s="128"/>
      <c r="K16" s="116"/>
      <c r="L16" s="116"/>
      <c r="M16" s="116"/>
      <c r="N16" s="116"/>
      <c r="O16" s="116"/>
      <c r="P16" s="117"/>
    </row>
    <row r="17" spans="1:17" ht="15.75" thickBot="1" x14ac:dyDescent="0.3">
      <c r="A17" s="100"/>
      <c r="B17" s="100"/>
      <c r="C17" s="100"/>
      <c r="D17" s="100"/>
      <c r="E17" s="100"/>
      <c r="F17" s="100"/>
      <c r="G17" s="100"/>
      <c r="H17" s="100"/>
      <c r="I17" s="100"/>
      <c r="J17" s="100"/>
      <c r="K17" s="100"/>
      <c r="L17" s="100"/>
      <c r="M17" s="100"/>
      <c r="N17" s="100"/>
      <c r="O17" s="100"/>
      <c r="P17" s="100"/>
    </row>
    <row r="18" spans="1:17" x14ac:dyDescent="0.25">
      <c r="A18" s="101" t="s">
        <v>23</v>
      </c>
      <c r="B18" s="102"/>
      <c r="C18" s="102"/>
      <c r="D18" s="103"/>
      <c r="E18" s="103"/>
      <c r="F18" s="103"/>
      <c r="G18" s="103"/>
      <c r="H18" s="103"/>
      <c r="I18" s="103"/>
      <c r="J18" s="104" t="s">
        <v>25</v>
      </c>
      <c r="K18" s="105"/>
      <c r="L18" s="103"/>
      <c r="M18" s="103"/>
      <c r="N18" s="103"/>
      <c r="O18" s="103"/>
      <c r="P18" s="106"/>
    </row>
    <row r="19" spans="1:17" ht="15.75" thickBot="1" x14ac:dyDescent="0.3">
      <c r="A19" s="107" t="s">
        <v>24</v>
      </c>
      <c r="B19" s="108"/>
      <c r="C19" s="108"/>
      <c r="D19" s="109"/>
      <c r="E19" s="109"/>
      <c r="F19" s="109"/>
      <c r="G19" s="109"/>
      <c r="H19" s="109"/>
      <c r="I19" s="109"/>
      <c r="J19" s="108" t="s">
        <v>26</v>
      </c>
      <c r="K19" s="108"/>
      <c r="L19" s="109"/>
      <c r="M19" s="109"/>
      <c r="N19" s="109"/>
      <c r="O19" s="109"/>
      <c r="P19" s="110"/>
    </row>
    <row r="20" spans="1:17" ht="15.75" thickBot="1" x14ac:dyDescent="0.3">
      <c r="A20" s="100"/>
      <c r="B20" s="100"/>
      <c r="C20" s="100"/>
      <c r="D20" s="100"/>
      <c r="E20" s="100"/>
      <c r="F20" s="100"/>
      <c r="G20" s="100"/>
      <c r="H20" s="100"/>
      <c r="I20" s="100"/>
      <c r="J20" s="100"/>
      <c r="K20" s="100"/>
      <c r="L20" s="100"/>
      <c r="M20" s="100"/>
      <c r="N20" s="100"/>
      <c r="O20" s="100"/>
      <c r="P20" s="100"/>
    </row>
    <row r="21" spans="1:17" ht="15.75" thickBot="1" x14ac:dyDescent="0.3">
      <c r="A21" s="111" t="s">
        <v>27</v>
      </c>
      <c r="B21" s="112"/>
      <c r="C21" s="112" t="s">
        <v>28</v>
      </c>
      <c r="D21" s="112"/>
      <c r="E21" s="112"/>
      <c r="F21" s="112"/>
      <c r="G21" s="112"/>
      <c r="H21" s="112"/>
      <c r="I21" s="112"/>
      <c r="J21" s="112"/>
      <c r="K21" s="112"/>
      <c r="L21" s="112"/>
      <c r="M21" s="112"/>
      <c r="N21" s="112"/>
      <c r="O21" s="112"/>
      <c r="P21" s="113"/>
      <c r="Q21" s="7"/>
    </row>
    <row r="22" spans="1:17" ht="30" customHeight="1" x14ac:dyDescent="0.25">
      <c r="A22" s="114">
        <v>42121</v>
      </c>
      <c r="B22" s="115"/>
      <c r="C22" s="91" t="s">
        <v>251</v>
      </c>
      <c r="D22" s="91"/>
      <c r="E22" s="91"/>
      <c r="F22" s="91"/>
      <c r="G22" s="91"/>
      <c r="H22" s="91"/>
      <c r="I22" s="91"/>
      <c r="J22" s="91"/>
      <c r="K22" s="91"/>
      <c r="L22" s="91"/>
      <c r="M22" s="91"/>
      <c r="N22" s="91"/>
      <c r="O22" s="91"/>
      <c r="P22" s="92"/>
      <c r="Q22" s="7"/>
    </row>
    <row r="23" spans="1:17" ht="30" customHeight="1" x14ac:dyDescent="0.25">
      <c r="A23" s="89"/>
      <c r="B23" s="90"/>
      <c r="C23" s="97"/>
      <c r="D23" s="98"/>
      <c r="E23" s="98"/>
      <c r="F23" s="98"/>
      <c r="G23" s="98"/>
      <c r="H23" s="98"/>
      <c r="I23" s="98"/>
      <c r="J23" s="98"/>
      <c r="K23" s="98"/>
      <c r="L23" s="98"/>
      <c r="M23" s="98"/>
      <c r="N23" s="98"/>
      <c r="O23" s="98"/>
      <c r="P23" s="99"/>
      <c r="Q23" s="7"/>
    </row>
    <row r="24" spans="1:17" ht="30" customHeight="1" x14ac:dyDescent="0.25">
      <c r="A24" s="89"/>
      <c r="B24" s="90"/>
      <c r="C24" s="91"/>
      <c r="D24" s="91"/>
      <c r="E24" s="91"/>
      <c r="F24" s="91"/>
      <c r="G24" s="91"/>
      <c r="H24" s="91"/>
      <c r="I24" s="91"/>
      <c r="J24" s="91"/>
      <c r="K24" s="91"/>
      <c r="L24" s="91"/>
      <c r="M24" s="91"/>
      <c r="N24" s="91"/>
      <c r="O24" s="91"/>
      <c r="P24" s="92"/>
      <c r="Q24" s="7"/>
    </row>
    <row r="25" spans="1:17" ht="30" customHeight="1" x14ac:dyDescent="0.25">
      <c r="A25" s="89"/>
      <c r="B25" s="90"/>
      <c r="C25" s="91"/>
      <c r="D25" s="91"/>
      <c r="E25" s="91"/>
      <c r="F25" s="91"/>
      <c r="G25" s="91"/>
      <c r="H25" s="91"/>
      <c r="I25" s="91"/>
      <c r="J25" s="91"/>
      <c r="K25" s="91"/>
      <c r="L25" s="91"/>
      <c r="M25" s="91"/>
      <c r="N25" s="91"/>
      <c r="O25" s="91"/>
      <c r="P25" s="92"/>
    </row>
    <row r="26" spans="1:17" ht="30" customHeight="1" thickBot="1" x14ac:dyDescent="0.3">
      <c r="A26" s="93"/>
      <c r="B26" s="94"/>
      <c r="C26" s="95"/>
      <c r="D26" s="95"/>
      <c r="E26" s="95"/>
      <c r="F26" s="95"/>
      <c r="G26" s="95"/>
      <c r="H26" s="95"/>
      <c r="I26" s="95"/>
      <c r="J26" s="95"/>
      <c r="K26" s="95"/>
      <c r="L26" s="95"/>
      <c r="M26" s="95"/>
      <c r="N26" s="95"/>
      <c r="O26" s="95"/>
      <c r="P26" s="96"/>
    </row>
  </sheetData>
  <mergeCells count="86">
    <mergeCell ref="A1:P1"/>
    <mergeCell ref="A2:P2"/>
    <mergeCell ref="B3:H3"/>
    <mergeCell ref="I3:J3"/>
    <mergeCell ref="K3:L3"/>
    <mergeCell ref="M3:P3"/>
    <mergeCell ref="N7:P7"/>
    <mergeCell ref="B4:H4"/>
    <mergeCell ref="I4:J4"/>
    <mergeCell ref="K4:L4"/>
    <mergeCell ref="O4:P4"/>
    <mergeCell ref="G5:H5"/>
    <mergeCell ref="I5:J5"/>
    <mergeCell ref="K5:L5"/>
    <mergeCell ref="O5:P5"/>
    <mergeCell ref="A7:B7"/>
    <mergeCell ref="C7:F7"/>
    <mergeCell ref="G7:H7"/>
    <mergeCell ref="I7:K7"/>
    <mergeCell ref="L7:M7"/>
    <mergeCell ref="A8:P8"/>
    <mergeCell ref="A9:P9"/>
    <mergeCell ref="A10:B10"/>
    <mergeCell ref="C10:D10"/>
    <mergeCell ref="E10:F10"/>
    <mergeCell ref="G10:H10"/>
    <mergeCell ref="I10:J10"/>
    <mergeCell ref="K10:P10"/>
    <mergeCell ref="K12:P12"/>
    <mergeCell ref="A11:B11"/>
    <mergeCell ref="C11:D11"/>
    <mergeCell ref="E11:F11"/>
    <mergeCell ref="G11:H11"/>
    <mergeCell ref="I11:J11"/>
    <mergeCell ref="K11:P11"/>
    <mergeCell ref="A12:B12"/>
    <mergeCell ref="C12:D12"/>
    <mergeCell ref="E12:F12"/>
    <mergeCell ref="G12:H12"/>
    <mergeCell ref="I12:J12"/>
    <mergeCell ref="K14:P14"/>
    <mergeCell ref="A13:B13"/>
    <mergeCell ref="C13:D13"/>
    <mergeCell ref="E13:F13"/>
    <mergeCell ref="G13:H13"/>
    <mergeCell ref="I13:J13"/>
    <mergeCell ref="K13:P13"/>
    <mergeCell ref="A14:B14"/>
    <mergeCell ref="C14:D14"/>
    <mergeCell ref="E14:F14"/>
    <mergeCell ref="G14:H14"/>
    <mergeCell ref="I14:J14"/>
    <mergeCell ref="K16:P16"/>
    <mergeCell ref="A15:B15"/>
    <mergeCell ref="C15:D15"/>
    <mergeCell ref="E15:F15"/>
    <mergeCell ref="G15:H15"/>
    <mergeCell ref="I15:J15"/>
    <mergeCell ref="K15:P15"/>
    <mergeCell ref="A16:B16"/>
    <mergeCell ref="C16:D16"/>
    <mergeCell ref="E16:F16"/>
    <mergeCell ref="G16:H16"/>
    <mergeCell ref="I16:J16"/>
    <mergeCell ref="A23:B23"/>
    <mergeCell ref="C23:P23"/>
    <mergeCell ref="A17:P17"/>
    <mergeCell ref="A18:C18"/>
    <mergeCell ref="D18:I18"/>
    <mergeCell ref="J18:K18"/>
    <mergeCell ref="L18:P18"/>
    <mergeCell ref="A19:C19"/>
    <mergeCell ref="D19:I19"/>
    <mergeCell ref="J19:K19"/>
    <mergeCell ref="L19:P19"/>
    <mergeCell ref="A20:P20"/>
    <mergeCell ref="A21:B21"/>
    <mergeCell ref="C21:P21"/>
    <mergeCell ref="A22:B22"/>
    <mergeCell ref="C22:P22"/>
    <mergeCell ref="A24:B24"/>
    <mergeCell ref="C24:P24"/>
    <mergeCell ref="A25:B25"/>
    <mergeCell ref="C25:P25"/>
    <mergeCell ref="A26:B26"/>
    <mergeCell ref="C26:P26"/>
  </mergeCells>
  <hyperlinks>
    <hyperlink ref="K11" r:id="rId1"/>
  </hyperlinks>
  <pageMargins left="0.25" right="0.25" top="0.75" bottom="0.75" header="0.3" footer="0.3"/>
  <pageSetup paperSize="9" orientation="landscape" horizontalDpi="0" verticalDpi="0"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6"/>
  <dimension ref="A1:Q26"/>
  <sheetViews>
    <sheetView tabSelected="1" zoomScale="115" zoomScaleNormal="115" workbookViewId="0">
      <selection activeCell="M5" sqref="M5:N5"/>
    </sheetView>
  </sheetViews>
  <sheetFormatPr baseColWidth="10" defaultColWidth="9.140625" defaultRowHeight="15" x14ac:dyDescent="0.25"/>
  <cols>
    <col min="1" max="16" width="8.7109375" style="1" customWidth="1"/>
    <col min="17" max="16384" width="9.140625" style="1"/>
  </cols>
  <sheetData>
    <row r="1" spans="1:16" ht="28.5" x14ac:dyDescent="0.25">
      <c r="A1" s="150" t="s">
        <v>256</v>
      </c>
      <c r="B1" s="150"/>
      <c r="C1" s="150"/>
      <c r="D1" s="150"/>
      <c r="E1" s="150"/>
      <c r="F1" s="150"/>
      <c r="G1" s="150"/>
      <c r="H1" s="150"/>
      <c r="I1" s="150"/>
      <c r="J1" s="150"/>
      <c r="K1" s="150"/>
      <c r="L1" s="150"/>
      <c r="M1" s="150"/>
      <c r="N1" s="150"/>
      <c r="O1" s="150"/>
      <c r="P1" s="150"/>
    </row>
    <row r="2" spans="1:16" ht="23.25" customHeight="1" thickBot="1" x14ac:dyDescent="0.3">
      <c r="A2" s="151"/>
      <c r="B2" s="151"/>
      <c r="C2" s="151"/>
      <c r="D2" s="151"/>
      <c r="E2" s="151"/>
      <c r="F2" s="151"/>
      <c r="G2" s="151"/>
      <c r="H2" s="151"/>
      <c r="I2" s="151"/>
      <c r="J2" s="151"/>
      <c r="K2" s="151"/>
      <c r="L2" s="151"/>
      <c r="M2" s="151"/>
      <c r="N2" s="151"/>
      <c r="O2" s="151"/>
      <c r="P2" s="151"/>
    </row>
    <row r="3" spans="1:16" x14ac:dyDescent="0.25">
      <c r="A3" s="2" t="s">
        <v>1</v>
      </c>
      <c r="B3" s="103" t="s">
        <v>257</v>
      </c>
      <c r="C3" s="103"/>
      <c r="D3" s="103"/>
      <c r="E3" s="103"/>
      <c r="F3" s="103"/>
      <c r="G3" s="103"/>
      <c r="H3" s="152"/>
      <c r="I3" s="101" t="s">
        <v>6</v>
      </c>
      <c r="J3" s="102"/>
      <c r="K3" s="153">
        <v>3</v>
      </c>
      <c r="L3" s="154"/>
      <c r="M3" s="101" t="s">
        <v>9</v>
      </c>
      <c r="N3" s="102"/>
      <c r="O3" s="102"/>
      <c r="P3" s="137"/>
    </row>
    <row r="4" spans="1:16" x14ac:dyDescent="0.25">
      <c r="A4" s="3" t="s">
        <v>2</v>
      </c>
      <c r="B4" s="119" t="s">
        <v>258</v>
      </c>
      <c r="C4" s="119"/>
      <c r="D4" s="119"/>
      <c r="E4" s="119"/>
      <c r="F4" s="119"/>
      <c r="G4" s="119"/>
      <c r="H4" s="141"/>
      <c r="I4" s="142" t="s">
        <v>7</v>
      </c>
      <c r="J4" s="143"/>
      <c r="K4" s="144">
        <v>34</v>
      </c>
      <c r="L4" s="145"/>
      <c r="M4" s="25" t="s">
        <v>10</v>
      </c>
      <c r="N4" s="26" t="s">
        <v>76</v>
      </c>
      <c r="O4" s="143" t="s">
        <v>11</v>
      </c>
      <c r="P4" s="146"/>
    </row>
    <row r="5" spans="1:16" ht="15.75" thickBot="1" x14ac:dyDescent="0.3">
      <c r="A5" s="4" t="s">
        <v>480</v>
      </c>
      <c r="B5" s="71" t="s">
        <v>528</v>
      </c>
      <c r="C5" s="5" t="s">
        <v>481</v>
      </c>
      <c r="D5" s="70" t="s">
        <v>529</v>
      </c>
      <c r="E5" s="74"/>
      <c r="F5" s="5" t="s">
        <v>12</v>
      </c>
      <c r="G5" s="147">
        <v>476765709</v>
      </c>
      <c r="H5" s="126"/>
      <c r="I5" s="107" t="s">
        <v>8</v>
      </c>
      <c r="J5" s="108"/>
      <c r="K5" s="148">
        <v>500</v>
      </c>
      <c r="L5" s="149"/>
      <c r="M5" s="28">
        <v>300</v>
      </c>
      <c r="N5" s="27"/>
      <c r="O5" s="148"/>
      <c r="P5" s="149"/>
    </row>
    <row r="6" spans="1:16" ht="15.75" thickBot="1" x14ac:dyDescent="0.3">
      <c r="A6" s="12"/>
      <c r="B6" s="12"/>
      <c r="C6" s="12"/>
      <c r="D6" s="12"/>
      <c r="E6" s="12"/>
      <c r="F6" s="12"/>
      <c r="G6" s="12"/>
      <c r="H6" s="12"/>
      <c r="I6" s="12"/>
      <c r="J6" s="12"/>
      <c r="K6" s="12"/>
      <c r="L6" s="12"/>
      <c r="M6" s="12"/>
      <c r="N6" s="12"/>
      <c r="O6" s="12"/>
      <c r="P6" s="12"/>
    </row>
    <row r="7" spans="1:16" ht="15.75" thickBot="1" x14ac:dyDescent="0.3">
      <c r="A7" s="138" t="s">
        <v>31</v>
      </c>
      <c r="B7" s="139"/>
      <c r="C7" s="131"/>
      <c r="D7" s="131"/>
      <c r="E7" s="131"/>
      <c r="F7" s="131"/>
      <c r="G7" s="139" t="s">
        <v>32</v>
      </c>
      <c r="H7" s="139"/>
      <c r="I7" s="140"/>
      <c r="J7" s="140"/>
      <c r="K7" s="140"/>
      <c r="L7" s="139" t="s">
        <v>33</v>
      </c>
      <c r="M7" s="139"/>
      <c r="N7" s="131"/>
      <c r="O7" s="131"/>
      <c r="P7" s="132"/>
    </row>
    <row r="8" spans="1:16" ht="15.75" thickBot="1" x14ac:dyDescent="0.3">
      <c r="A8" s="133"/>
      <c r="B8" s="133"/>
      <c r="C8" s="133"/>
      <c r="D8" s="133"/>
      <c r="E8" s="133"/>
      <c r="F8" s="133"/>
      <c r="G8" s="133"/>
      <c r="H8" s="133"/>
      <c r="I8" s="133"/>
      <c r="J8" s="133"/>
      <c r="K8" s="133"/>
      <c r="L8" s="133"/>
      <c r="M8" s="133"/>
      <c r="N8" s="133"/>
      <c r="O8" s="133"/>
      <c r="P8" s="133"/>
    </row>
    <row r="9" spans="1:16" ht="15.75" thickBot="1" x14ac:dyDescent="0.3">
      <c r="A9" s="111" t="s">
        <v>13</v>
      </c>
      <c r="B9" s="112"/>
      <c r="C9" s="112"/>
      <c r="D9" s="112"/>
      <c r="E9" s="112"/>
      <c r="F9" s="112"/>
      <c r="G9" s="112"/>
      <c r="H9" s="112"/>
      <c r="I9" s="112"/>
      <c r="J9" s="112"/>
      <c r="K9" s="112"/>
      <c r="L9" s="112"/>
      <c r="M9" s="112"/>
      <c r="N9" s="112"/>
      <c r="O9" s="112"/>
      <c r="P9" s="113"/>
    </row>
    <row r="10" spans="1:16" s="6" customFormat="1" x14ac:dyDescent="0.25">
      <c r="A10" s="134" t="s">
        <v>1</v>
      </c>
      <c r="B10" s="135"/>
      <c r="C10" s="135" t="s">
        <v>3</v>
      </c>
      <c r="D10" s="135"/>
      <c r="E10" s="135" t="s">
        <v>4</v>
      </c>
      <c r="F10" s="135"/>
      <c r="G10" s="104" t="s">
        <v>20</v>
      </c>
      <c r="H10" s="105"/>
      <c r="I10" s="104" t="s">
        <v>21</v>
      </c>
      <c r="J10" s="136"/>
      <c r="K10" s="102" t="s">
        <v>5</v>
      </c>
      <c r="L10" s="102"/>
      <c r="M10" s="102"/>
      <c r="N10" s="102"/>
      <c r="O10" s="102"/>
      <c r="P10" s="137"/>
    </row>
    <row r="11" spans="1:16" x14ac:dyDescent="0.25">
      <c r="A11" s="118" t="s">
        <v>255</v>
      </c>
      <c r="B11" s="119"/>
      <c r="C11" s="119"/>
      <c r="D11" s="119"/>
      <c r="E11" s="119" t="s">
        <v>173</v>
      </c>
      <c r="F11" s="119"/>
      <c r="G11" s="120"/>
      <c r="H11" s="121"/>
      <c r="I11" s="120"/>
      <c r="J11" s="122"/>
      <c r="K11" s="129"/>
      <c r="L11" s="129"/>
      <c r="M11" s="129"/>
      <c r="N11" s="129"/>
      <c r="O11" s="129"/>
      <c r="P11" s="130"/>
    </row>
    <row r="12" spans="1:16" x14ac:dyDescent="0.25">
      <c r="A12" s="118" t="s">
        <v>252</v>
      </c>
      <c r="B12" s="119"/>
      <c r="C12" s="119" t="s">
        <v>253</v>
      </c>
      <c r="D12" s="119"/>
      <c r="E12" s="119" t="s">
        <v>121</v>
      </c>
      <c r="F12" s="119"/>
      <c r="G12" s="120"/>
      <c r="H12" s="121"/>
      <c r="I12" s="120"/>
      <c r="J12" s="122"/>
      <c r="K12" s="123"/>
      <c r="L12" s="123"/>
      <c r="M12" s="123"/>
      <c r="N12" s="123"/>
      <c r="O12" s="123"/>
      <c r="P12" s="124"/>
    </row>
    <row r="13" spans="1:16" x14ac:dyDescent="0.25">
      <c r="A13" s="118"/>
      <c r="B13" s="119"/>
      <c r="C13" s="119"/>
      <c r="D13" s="119"/>
      <c r="E13" s="119"/>
      <c r="F13" s="119"/>
      <c r="G13" s="120"/>
      <c r="H13" s="121"/>
      <c r="I13" s="120"/>
      <c r="J13" s="122"/>
      <c r="K13" s="123"/>
      <c r="L13" s="123"/>
      <c r="M13" s="123"/>
      <c r="N13" s="123"/>
      <c r="O13" s="123"/>
      <c r="P13" s="124"/>
    </row>
    <row r="14" spans="1:16" x14ac:dyDescent="0.25">
      <c r="A14" s="118"/>
      <c r="B14" s="119"/>
      <c r="C14" s="119"/>
      <c r="D14" s="119"/>
      <c r="E14" s="119"/>
      <c r="F14" s="119"/>
      <c r="G14" s="120"/>
      <c r="H14" s="121"/>
      <c r="I14" s="120"/>
      <c r="J14" s="122"/>
      <c r="K14" s="123"/>
      <c r="L14" s="123"/>
      <c r="M14" s="123"/>
      <c r="N14" s="123"/>
      <c r="O14" s="123"/>
      <c r="P14" s="124"/>
    </row>
    <row r="15" spans="1:16" x14ac:dyDescent="0.25">
      <c r="A15" s="118"/>
      <c r="B15" s="119"/>
      <c r="C15" s="119"/>
      <c r="D15" s="119"/>
      <c r="E15" s="119"/>
      <c r="F15" s="119"/>
      <c r="G15" s="120"/>
      <c r="H15" s="121"/>
      <c r="I15" s="120"/>
      <c r="J15" s="122"/>
      <c r="K15" s="123"/>
      <c r="L15" s="123"/>
      <c r="M15" s="123"/>
      <c r="N15" s="123"/>
      <c r="O15" s="123"/>
      <c r="P15" s="124"/>
    </row>
    <row r="16" spans="1:16" ht="15.75" thickBot="1" x14ac:dyDescent="0.3">
      <c r="A16" s="125"/>
      <c r="B16" s="109"/>
      <c r="C16" s="109"/>
      <c r="D16" s="109"/>
      <c r="E16" s="109"/>
      <c r="F16" s="109"/>
      <c r="G16" s="126"/>
      <c r="H16" s="127"/>
      <c r="I16" s="126"/>
      <c r="J16" s="128"/>
      <c r="K16" s="116"/>
      <c r="L16" s="116"/>
      <c r="M16" s="116"/>
      <c r="N16" s="116"/>
      <c r="O16" s="116"/>
      <c r="P16" s="117"/>
    </row>
    <row r="17" spans="1:17" ht="15.75" thickBot="1" x14ac:dyDescent="0.3">
      <c r="A17" s="100"/>
      <c r="B17" s="100"/>
      <c r="C17" s="100"/>
      <c r="D17" s="100"/>
      <c r="E17" s="100"/>
      <c r="F17" s="100"/>
      <c r="G17" s="100"/>
      <c r="H17" s="100"/>
      <c r="I17" s="100"/>
      <c r="J17" s="100"/>
      <c r="K17" s="100"/>
      <c r="L17" s="100"/>
      <c r="M17" s="100"/>
      <c r="N17" s="100"/>
      <c r="O17" s="100"/>
      <c r="P17" s="100"/>
    </row>
    <row r="18" spans="1:17" x14ac:dyDescent="0.25">
      <c r="A18" s="101" t="s">
        <v>23</v>
      </c>
      <c r="B18" s="102"/>
      <c r="C18" s="102"/>
      <c r="D18" s="103"/>
      <c r="E18" s="103"/>
      <c r="F18" s="103"/>
      <c r="G18" s="103"/>
      <c r="H18" s="103"/>
      <c r="I18" s="103"/>
      <c r="J18" s="104" t="s">
        <v>25</v>
      </c>
      <c r="K18" s="105"/>
      <c r="L18" s="103"/>
      <c r="M18" s="103"/>
      <c r="N18" s="103"/>
      <c r="O18" s="103"/>
      <c r="P18" s="106"/>
    </row>
    <row r="19" spans="1:17" ht="15.75" thickBot="1" x14ac:dyDescent="0.3">
      <c r="A19" s="107" t="s">
        <v>24</v>
      </c>
      <c r="B19" s="108"/>
      <c r="C19" s="108"/>
      <c r="D19" s="109"/>
      <c r="E19" s="109"/>
      <c r="F19" s="109"/>
      <c r="G19" s="109"/>
      <c r="H19" s="109"/>
      <c r="I19" s="109"/>
      <c r="J19" s="108" t="s">
        <v>26</v>
      </c>
      <c r="K19" s="108"/>
      <c r="L19" s="109"/>
      <c r="M19" s="109"/>
      <c r="N19" s="109"/>
      <c r="O19" s="109"/>
      <c r="P19" s="110"/>
    </row>
    <row r="20" spans="1:17" ht="15.75" thickBot="1" x14ac:dyDescent="0.3">
      <c r="A20" s="100"/>
      <c r="B20" s="100"/>
      <c r="C20" s="100"/>
      <c r="D20" s="100"/>
      <c r="E20" s="100"/>
      <c r="F20" s="100"/>
      <c r="G20" s="100"/>
      <c r="H20" s="100"/>
      <c r="I20" s="100"/>
      <c r="J20" s="100"/>
      <c r="K20" s="100"/>
      <c r="L20" s="100"/>
      <c r="M20" s="100"/>
      <c r="N20" s="100"/>
      <c r="O20" s="100"/>
      <c r="P20" s="100"/>
    </row>
    <row r="21" spans="1:17" ht="15.75" thickBot="1" x14ac:dyDescent="0.3">
      <c r="A21" s="111" t="s">
        <v>27</v>
      </c>
      <c r="B21" s="112"/>
      <c r="C21" s="112" t="s">
        <v>28</v>
      </c>
      <c r="D21" s="112"/>
      <c r="E21" s="112"/>
      <c r="F21" s="112"/>
      <c r="G21" s="112"/>
      <c r="H21" s="112"/>
      <c r="I21" s="112"/>
      <c r="J21" s="112"/>
      <c r="K21" s="112"/>
      <c r="L21" s="112"/>
      <c r="M21" s="112"/>
      <c r="N21" s="112"/>
      <c r="O21" s="112"/>
      <c r="P21" s="113"/>
      <c r="Q21" s="7"/>
    </row>
    <row r="22" spans="1:17" ht="30" customHeight="1" x14ac:dyDescent="0.25">
      <c r="A22" s="114">
        <v>42122</v>
      </c>
      <c r="B22" s="115"/>
      <c r="C22" s="91" t="s">
        <v>254</v>
      </c>
      <c r="D22" s="91"/>
      <c r="E22" s="91"/>
      <c r="F22" s="91"/>
      <c r="G22" s="91"/>
      <c r="H22" s="91"/>
      <c r="I22" s="91"/>
      <c r="J22" s="91"/>
      <c r="K22" s="91"/>
      <c r="L22" s="91"/>
      <c r="M22" s="91"/>
      <c r="N22" s="91"/>
      <c r="O22" s="91"/>
      <c r="P22" s="92"/>
      <c r="Q22" s="7"/>
    </row>
    <row r="23" spans="1:17" ht="30" customHeight="1" x14ac:dyDescent="0.25">
      <c r="A23" s="89"/>
      <c r="B23" s="90"/>
      <c r="C23" s="97"/>
      <c r="D23" s="98"/>
      <c r="E23" s="98"/>
      <c r="F23" s="98"/>
      <c r="G23" s="98"/>
      <c r="H23" s="98"/>
      <c r="I23" s="98"/>
      <c r="J23" s="98"/>
      <c r="K23" s="98"/>
      <c r="L23" s="98"/>
      <c r="M23" s="98"/>
      <c r="N23" s="98"/>
      <c r="O23" s="98"/>
      <c r="P23" s="99"/>
      <c r="Q23" s="7"/>
    </row>
    <row r="24" spans="1:17" ht="30" customHeight="1" x14ac:dyDescent="0.25">
      <c r="A24" s="89"/>
      <c r="B24" s="90"/>
      <c r="C24" s="91"/>
      <c r="D24" s="91"/>
      <c r="E24" s="91"/>
      <c r="F24" s="91"/>
      <c r="G24" s="91"/>
      <c r="H24" s="91"/>
      <c r="I24" s="91"/>
      <c r="J24" s="91"/>
      <c r="K24" s="91"/>
      <c r="L24" s="91"/>
      <c r="M24" s="91"/>
      <c r="N24" s="91"/>
      <c r="O24" s="91"/>
      <c r="P24" s="92"/>
      <c r="Q24" s="7"/>
    </row>
    <row r="25" spans="1:17" ht="30" customHeight="1" x14ac:dyDescent="0.25">
      <c r="A25" s="89"/>
      <c r="B25" s="90"/>
      <c r="C25" s="91"/>
      <c r="D25" s="91"/>
      <c r="E25" s="91"/>
      <c r="F25" s="91"/>
      <c r="G25" s="91"/>
      <c r="H25" s="91"/>
      <c r="I25" s="91"/>
      <c r="J25" s="91"/>
      <c r="K25" s="91"/>
      <c r="L25" s="91"/>
      <c r="M25" s="91"/>
      <c r="N25" s="91"/>
      <c r="O25" s="91"/>
      <c r="P25" s="92"/>
    </row>
    <row r="26" spans="1:17" ht="30" customHeight="1" thickBot="1" x14ac:dyDescent="0.3">
      <c r="A26" s="93"/>
      <c r="B26" s="94"/>
      <c r="C26" s="95"/>
      <c r="D26" s="95"/>
      <c r="E26" s="95"/>
      <c r="F26" s="95"/>
      <c r="G26" s="95"/>
      <c r="H26" s="95"/>
      <c r="I26" s="95"/>
      <c r="J26" s="95"/>
      <c r="K26" s="95"/>
      <c r="L26" s="95"/>
      <c r="M26" s="95"/>
      <c r="N26" s="95"/>
      <c r="O26" s="95"/>
      <c r="P26" s="96"/>
    </row>
  </sheetData>
  <mergeCells count="86">
    <mergeCell ref="A1:P1"/>
    <mergeCell ref="A2:P2"/>
    <mergeCell ref="B3:H3"/>
    <mergeCell ref="I3:J3"/>
    <mergeCell ref="K3:L3"/>
    <mergeCell ref="M3:P3"/>
    <mergeCell ref="N7:P7"/>
    <mergeCell ref="B4:H4"/>
    <mergeCell ref="I4:J4"/>
    <mergeCell ref="K4:L4"/>
    <mergeCell ref="O4:P4"/>
    <mergeCell ref="G5:H5"/>
    <mergeCell ref="I5:J5"/>
    <mergeCell ref="K5:L5"/>
    <mergeCell ref="O5:P5"/>
    <mergeCell ref="A7:B7"/>
    <mergeCell ref="C7:F7"/>
    <mergeCell ref="G7:H7"/>
    <mergeCell ref="I7:K7"/>
    <mergeCell ref="L7:M7"/>
    <mergeCell ref="A8:P8"/>
    <mergeCell ref="A9:P9"/>
    <mergeCell ref="A10:B10"/>
    <mergeCell ref="C10:D10"/>
    <mergeCell ref="E10:F10"/>
    <mergeCell ref="G10:H10"/>
    <mergeCell ref="I10:J10"/>
    <mergeCell ref="K10:P10"/>
    <mergeCell ref="K12:P12"/>
    <mergeCell ref="A11:B11"/>
    <mergeCell ref="C11:D11"/>
    <mergeCell ref="E11:F11"/>
    <mergeCell ref="G11:H11"/>
    <mergeCell ref="I11:J11"/>
    <mergeCell ref="K11:P11"/>
    <mergeCell ref="A12:B12"/>
    <mergeCell ref="C12:D12"/>
    <mergeCell ref="E12:F12"/>
    <mergeCell ref="G12:H12"/>
    <mergeCell ref="I12:J12"/>
    <mergeCell ref="K14:P14"/>
    <mergeCell ref="A13:B13"/>
    <mergeCell ref="C13:D13"/>
    <mergeCell ref="E13:F13"/>
    <mergeCell ref="G13:H13"/>
    <mergeCell ref="I13:J13"/>
    <mergeCell ref="K13:P13"/>
    <mergeCell ref="A14:B14"/>
    <mergeCell ref="C14:D14"/>
    <mergeCell ref="E14:F14"/>
    <mergeCell ref="G14:H14"/>
    <mergeCell ref="I14:J14"/>
    <mergeCell ref="K16:P16"/>
    <mergeCell ref="A15:B15"/>
    <mergeCell ref="C15:D15"/>
    <mergeCell ref="E15:F15"/>
    <mergeCell ref="G15:H15"/>
    <mergeCell ref="I15:J15"/>
    <mergeCell ref="K15:P15"/>
    <mergeCell ref="A16:B16"/>
    <mergeCell ref="C16:D16"/>
    <mergeCell ref="E16:F16"/>
    <mergeCell ref="G16:H16"/>
    <mergeCell ref="I16:J16"/>
    <mergeCell ref="A23:B23"/>
    <mergeCell ref="C23:P23"/>
    <mergeCell ref="A17:P17"/>
    <mergeCell ref="A18:C18"/>
    <mergeCell ref="D18:I18"/>
    <mergeCell ref="J18:K18"/>
    <mergeCell ref="L18:P18"/>
    <mergeCell ref="A19:C19"/>
    <mergeCell ref="D19:I19"/>
    <mergeCell ref="J19:K19"/>
    <mergeCell ref="L19:P19"/>
    <mergeCell ref="A20:P20"/>
    <mergeCell ref="A21:B21"/>
    <mergeCell ref="C21:P21"/>
    <mergeCell ref="A22:B22"/>
    <mergeCell ref="C22:P22"/>
    <mergeCell ref="A24:B24"/>
    <mergeCell ref="C24:P24"/>
    <mergeCell ref="A25:B25"/>
    <mergeCell ref="C25:P25"/>
    <mergeCell ref="A26:B26"/>
    <mergeCell ref="C26:P26"/>
  </mergeCells>
  <pageMargins left="0.25" right="0.25" top="0.75" bottom="0.75" header="0.3" footer="0.3"/>
  <pageSetup paperSize="9" orientation="landscape" horizontalDpi="0"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7"/>
  <dimension ref="A1:Q26"/>
  <sheetViews>
    <sheetView tabSelected="1" zoomScale="115" zoomScaleNormal="115" workbookViewId="0">
      <selection activeCell="M5" sqref="M5:N5"/>
    </sheetView>
  </sheetViews>
  <sheetFormatPr baseColWidth="10" defaultColWidth="9.140625" defaultRowHeight="15" x14ac:dyDescent="0.25"/>
  <cols>
    <col min="1" max="16" width="8.7109375" style="1" customWidth="1"/>
    <col min="17" max="16384" width="9.140625" style="1"/>
  </cols>
  <sheetData>
    <row r="1" spans="1:16" ht="28.5" x14ac:dyDescent="0.25">
      <c r="A1" s="150" t="s">
        <v>259</v>
      </c>
      <c r="B1" s="150"/>
      <c r="C1" s="150"/>
      <c r="D1" s="150"/>
      <c r="E1" s="150"/>
      <c r="F1" s="150"/>
      <c r="G1" s="150"/>
      <c r="H1" s="150"/>
      <c r="I1" s="150"/>
      <c r="J1" s="150"/>
      <c r="K1" s="150"/>
      <c r="L1" s="150"/>
      <c r="M1" s="150"/>
      <c r="N1" s="150"/>
      <c r="O1" s="150"/>
      <c r="P1" s="150"/>
    </row>
    <row r="2" spans="1:16" ht="23.25" customHeight="1" thickBot="1" x14ac:dyDescent="0.3">
      <c r="A2" s="151"/>
      <c r="B2" s="151"/>
      <c r="C2" s="151"/>
      <c r="D2" s="151"/>
      <c r="E2" s="151"/>
      <c r="F2" s="151"/>
      <c r="G2" s="151"/>
      <c r="H2" s="151"/>
      <c r="I2" s="151"/>
      <c r="J2" s="151"/>
      <c r="K2" s="151"/>
      <c r="L2" s="151"/>
      <c r="M2" s="151"/>
      <c r="N2" s="151"/>
      <c r="O2" s="151"/>
      <c r="P2" s="151"/>
    </row>
    <row r="3" spans="1:16" x14ac:dyDescent="0.25">
      <c r="A3" s="2" t="s">
        <v>1</v>
      </c>
      <c r="B3" s="103" t="s">
        <v>259</v>
      </c>
      <c r="C3" s="103"/>
      <c r="D3" s="103"/>
      <c r="E3" s="103"/>
      <c r="F3" s="103"/>
      <c r="G3" s="103"/>
      <c r="H3" s="152"/>
      <c r="I3" s="101" t="s">
        <v>6</v>
      </c>
      <c r="J3" s="102"/>
      <c r="K3" s="153" t="s">
        <v>37</v>
      </c>
      <c r="L3" s="154"/>
      <c r="M3" s="101" t="s">
        <v>9</v>
      </c>
      <c r="N3" s="102"/>
      <c r="O3" s="102"/>
      <c r="P3" s="137"/>
    </row>
    <row r="4" spans="1:16" x14ac:dyDescent="0.25">
      <c r="A4" s="3" t="s">
        <v>2</v>
      </c>
      <c r="B4" s="119" t="s">
        <v>260</v>
      </c>
      <c r="C4" s="119"/>
      <c r="D4" s="119"/>
      <c r="E4" s="119"/>
      <c r="F4" s="119"/>
      <c r="G4" s="119"/>
      <c r="H4" s="141"/>
      <c r="I4" s="142" t="s">
        <v>7</v>
      </c>
      <c r="J4" s="143"/>
      <c r="K4" s="144">
        <v>10</v>
      </c>
      <c r="L4" s="145"/>
      <c r="M4" s="25" t="s">
        <v>10</v>
      </c>
      <c r="N4" s="26" t="s">
        <v>76</v>
      </c>
      <c r="O4" s="143" t="s">
        <v>11</v>
      </c>
      <c r="P4" s="146"/>
    </row>
    <row r="5" spans="1:16" ht="15.75" thickBot="1" x14ac:dyDescent="0.3">
      <c r="A5" s="4" t="s">
        <v>480</v>
      </c>
      <c r="B5" s="71" t="s">
        <v>530</v>
      </c>
      <c r="C5" s="5" t="s">
        <v>481</v>
      </c>
      <c r="D5" s="70" t="s">
        <v>531</v>
      </c>
      <c r="E5" s="74"/>
      <c r="F5" s="5" t="s">
        <v>12</v>
      </c>
      <c r="G5" s="147"/>
      <c r="H5" s="126"/>
      <c r="I5" s="107" t="s">
        <v>8</v>
      </c>
      <c r="J5" s="108"/>
      <c r="K5" s="148">
        <v>380</v>
      </c>
      <c r="L5" s="149"/>
      <c r="M5" s="28"/>
      <c r="N5" s="27"/>
      <c r="O5" s="148">
        <v>300</v>
      </c>
      <c r="P5" s="149"/>
    </row>
    <row r="6" spans="1:16" ht="15.75" thickBot="1" x14ac:dyDescent="0.3">
      <c r="A6" s="12"/>
      <c r="B6" s="12"/>
      <c r="C6" s="12"/>
      <c r="D6" s="12"/>
      <c r="E6" s="12"/>
      <c r="F6" s="12"/>
      <c r="G6" s="12"/>
      <c r="H6" s="12"/>
      <c r="I6" s="12"/>
      <c r="J6" s="12"/>
      <c r="K6" s="12"/>
      <c r="L6" s="12"/>
      <c r="M6" s="12"/>
      <c r="N6" s="12"/>
      <c r="O6" s="12"/>
      <c r="P6" s="12"/>
    </row>
    <row r="7" spans="1:16" ht="15.75" thickBot="1" x14ac:dyDescent="0.3">
      <c r="A7" s="138" t="s">
        <v>31</v>
      </c>
      <c r="B7" s="139"/>
      <c r="C7" s="131"/>
      <c r="D7" s="131"/>
      <c r="E7" s="131"/>
      <c r="F7" s="131"/>
      <c r="G7" s="139" t="s">
        <v>32</v>
      </c>
      <c r="H7" s="139"/>
      <c r="I7" s="140"/>
      <c r="J7" s="140"/>
      <c r="K7" s="140"/>
      <c r="L7" s="139" t="s">
        <v>33</v>
      </c>
      <c r="M7" s="139"/>
      <c r="N7" s="131"/>
      <c r="O7" s="131"/>
      <c r="P7" s="132"/>
    </row>
    <row r="8" spans="1:16" ht="15.75" thickBot="1" x14ac:dyDescent="0.3">
      <c r="A8" s="133"/>
      <c r="B8" s="133"/>
      <c r="C8" s="133"/>
      <c r="D8" s="133"/>
      <c r="E8" s="133"/>
      <c r="F8" s="133"/>
      <c r="G8" s="133"/>
      <c r="H8" s="133"/>
      <c r="I8" s="133"/>
      <c r="J8" s="133"/>
      <c r="K8" s="133"/>
      <c r="L8" s="133"/>
      <c r="M8" s="133"/>
      <c r="N8" s="133"/>
      <c r="O8" s="133"/>
      <c r="P8" s="133"/>
    </row>
    <row r="9" spans="1:16" ht="15.75" thickBot="1" x14ac:dyDescent="0.3">
      <c r="A9" s="111" t="s">
        <v>13</v>
      </c>
      <c r="B9" s="112"/>
      <c r="C9" s="112"/>
      <c r="D9" s="112"/>
      <c r="E9" s="112"/>
      <c r="F9" s="112"/>
      <c r="G9" s="112"/>
      <c r="H9" s="112"/>
      <c r="I9" s="112"/>
      <c r="J9" s="112"/>
      <c r="K9" s="112"/>
      <c r="L9" s="112"/>
      <c r="M9" s="112"/>
      <c r="N9" s="112"/>
      <c r="O9" s="112"/>
      <c r="P9" s="113"/>
    </row>
    <row r="10" spans="1:16" s="6" customFormat="1" x14ac:dyDescent="0.25">
      <c r="A10" s="134" t="s">
        <v>1</v>
      </c>
      <c r="B10" s="135"/>
      <c r="C10" s="135" t="s">
        <v>3</v>
      </c>
      <c r="D10" s="135"/>
      <c r="E10" s="135" t="s">
        <v>4</v>
      </c>
      <c r="F10" s="135"/>
      <c r="G10" s="104" t="s">
        <v>20</v>
      </c>
      <c r="H10" s="105"/>
      <c r="I10" s="104" t="s">
        <v>21</v>
      </c>
      <c r="J10" s="136"/>
      <c r="K10" s="102" t="s">
        <v>5</v>
      </c>
      <c r="L10" s="102"/>
      <c r="M10" s="102"/>
      <c r="N10" s="102"/>
      <c r="O10" s="102"/>
      <c r="P10" s="137"/>
    </row>
    <row r="11" spans="1:16" x14ac:dyDescent="0.25">
      <c r="A11" s="118" t="s">
        <v>261</v>
      </c>
      <c r="B11" s="119"/>
      <c r="C11" s="119" t="s">
        <v>262</v>
      </c>
      <c r="D11" s="119"/>
      <c r="E11" s="119" t="s">
        <v>71</v>
      </c>
      <c r="F11" s="119"/>
      <c r="G11" s="120"/>
      <c r="H11" s="121"/>
      <c r="I11" s="120"/>
      <c r="J11" s="122"/>
      <c r="K11" s="129" t="s">
        <v>263</v>
      </c>
      <c r="L11" s="129"/>
      <c r="M11" s="129"/>
      <c r="N11" s="129"/>
      <c r="O11" s="129"/>
      <c r="P11" s="130"/>
    </row>
    <row r="12" spans="1:16" x14ac:dyDescent="0.25">
      <c r="A12" s="118" t="s">
        <v>264</v>
      </c>
      <c r="B12" s="119"/>
      <c r="C12" s="119" t="s">
        <v>265</v>
      </c>
      <c r="D12" s="119"/>
      <c r="E12" s="119" t="s">
        <v>71</v>
      </c>
      <c r="F12" s="119"/>
      <c r="G12" s="120"/>
      <c r="H12" s="121"/>
      <c r="I12" s="120"/>
      <c r="J12" s="122"/>
      <c r="K12" s="123"/>
      <c r="L12" s="123"/>
      <c r="M12" s="123"/>
      <c r="N12" s="123"/>
      <c r="O12" s="123"/>
      <c r="P12" s="124"/>
    </row>
    <row r="13" spans="1:16" x14ac:dyDescent="0.25">
      <c r="A13" s="118"/>
      <c r="B13" s="119"/>
      <c r="C13" s="119"/>
      <c r="D13" s="119"/>
      <c r="E13" s="119"/>
      <c r="F13" s="119"/>
      <c r="G13" s="120"/>
      <c r="H13" s="121"/>
      <c r="I13" s="120"/>
      <c r="J13" s="122"/>
      <c r="K13" s="123"/>
      <c r="L13" s="123"/>
      <c r="M13" s="123"/>
      <c r="N13" s="123"/>
      <c r="O13" s="123"/>
      <c r="P13" s="124"/>
    </row>
    <row r="14" spans="1:16" x14ac:dyDescent="0.25">
      <c r="A14" s="118"/>
      <c r="B14" s="119"/>
      <c r="C14" s="119"/>
      <c r="D14" s="119"/>
      <c r="E14" s="119"/>
      <c r="F14" s="119"/>
      <c r="G14" s="120"/>
      <c r="H14" s="121"/>
      <c r="I14" s="120"/>
      <c r="J14" s="122"/>
      <c r="K14" s="123"/>
      <c r="L14" s="123"/>
      <c r="M14" s="123"/>
      <c r="N14" s="123"/>
      <c r="O14" s="123"/>
      <c r="P14" s="124"/>
    </row>
    <row r="15" spans="1:16" x14ac:dyDescent="0.25">
      <c r="A15" s="118"/>
      <c r="B15" s="119"/>
      <c r="C15" s="119"/>
      <c r="D15" s="119"/>
      <c r="E15" s="119"/>
      <c r="F15" s="119"/>
      <c r="G15" s="120"/>
      <c r="H15" s="121"/>
      <c r="I15" s="120"/>
      <c r="J15" s="122"/>
      <c r="K15" s="123"/>
      <c r="L15" s="123"/>
      <c r="M15" s="123"/>
      <c r="N15" s="123"/>
      <c r="O15" s="123"/>
      <c r="P15" s="124"/>
    </row>
    <row r="16" spans="1:16" ht="15.75" thickBot="1" x14ac:dyDescent="0.3">
      <c r="A16" s="125"/>
      <c r="B16" s="109"/>
      <c r="C16" s="109"/>
      <c r="D16" s="109"/>
      <c r="E16" s="109"/>
      <c r="F16" s="109"/>
      <c r="G16" s="126"/>
      <c r="H16" s="127"/>
      <c r="I16" s="126"/>
      <c r="J16" s="128"/>
      <c r="K16" s="116"/>
      <c r="L16" s="116"/>
      <c r="M16" s="116"/>
      <c r="N16" s="116"/>
      <c r="O16" s="116"/>
      <c r="P16" s="117"/>
    </row>
    <row r="17" spans="1:17" ht="15.75" thickBot="1" x14ac:dyDescent="0.3">
      <c r="A17" s="100"/>
      <c r="B17" s="100"/>
      <c r="C17" s="100"/>
      <c r="D17" s="100"/>
      <c r="E17" s="100"/>
      <c r="F17" s="100"/>
      <c r="G17" s="100"/>
      <c r="H17" s="100"/>
      <c r="I17" s="100"/>
      <c r="J17" s="100"/>
      <c r="K17" s="100"/>
      <c r="L17" s="100"/>
      <c r="M17" s="100"/>
      <c r="N17" s="100"/>
      <c r="O17" s="100"/>
      <c r="P17" s="100"/>
    </row>
    <row r="18" spans="1:17" x14ac:dyDescent="0.25">
      <c r="A18" s="101" t="s">
        <v>23</v>
      </c>
      <c r="B18" s="102"/>
      <c r="C18" s="102"/>
      <c r="D18" s="103"/>
      <c r="E18" s="103"/>
      <c r="F18" s="103"/>
      <c r="G18" s="103"/>
      <c r="H18" s="103"/>
      <c r="I18" s="103"/>
      <c r="J18" s="104" t="s">
        <v>25</v>
      </c>
      <c r="K18" s="105"/>
      <c r="L18" s="103"/>
      <c r="M18" s="103"/>
      <c r="N18" s="103"/>
      <c r="O18" s="103"/>
      <c r="P18" s="106"/>
    </row>
    <row r="19" spans="1:17" ht="15.75" thickBot="1" x14ac:dyDescent="0.3">
      <c r="A19" s="107" t="s">
        <v>24</v>
      </c>
      <c r="B19" s="108"/>
      <c r="C19" s="108"/>
      <c r="D19" s="109"/>
      <c r="E19" s="109"/>
      <c r="F19" s="109"/>
      <c r="G19" s="109"/>
      <c r="H19" s="109"/>
      <c r="I19" s="109"/>
      <c r="J19" s="108" t="s">
        <v>26</v>
      </c>
      <c r="K19" s="108"/>
      <c r="L19" s="109"/>
      <c r="M19" s="109"/>
      <c r="N19" s="109"/>
      <c r="O19" s="109"/>
      <c r="P19" s="110"/>
    </row>
    <row r="20" spans="1:17" ht="15.75" thickBot="1" x14ac:dyDescent="0.3">
      <c r="A20" s="100"/>
      <c r="B20" s="100"/>
      <c r="C20" s="100"/>
      <c r="D20" s="100"/>
      <c r="E20" s="100"/>
      <c r="F20" s="100"/>
      <c r="G20" s="100"/>
      <c r="H20" s="100"/>
      <c r="I20" s="100"/>
      <c r="J20" s="100"/>
      <c r="K20" s="100"/>
      <c r="L20" s="100"/>
      <c r="M20" s="100"/>
      <c r="N20" s="100"/>
      <c r="O20" s="100"/>
      <c r="P20" s="100"/>
    </row>
    <row r="21" spans="1:17" ht="15.75" thickBot="1" x14ac:dyDescent="0.3">
      <c r="A21" s="111" t="s">
        <v>27</v>
      </c>
      <c r="B21" s="112"/>
      <c r="C21" s="112" t="s">
        <v>28</v>
      </c>
      <c r="D21" s="112"/>
      <c r="E21" s="112"/>
      <c r="F21" s="112"/>
      <c r="G21" s="112"/>
      <c r="H21" s="112"/>
      <c r="I21" s="112"/>
      <c r="J21" s="112"/>
      <c r="K21" s="112"/>
      <c r="L21" s="112"/>
      <c r="M21" s="112"/>
      <c r="N21" s="112"/>
      <c r="O21" s="112"/>
      <c r="P21" s="113"/>
      <c r="Q21" s="7"/>
    </row>
    <row r="22" spans="1:17" ht="30" customHeight="1" x14ac:dyDescent="0.25">
      <c r="A22" s="114">
        <v>42122</v>
      </c>
      <c r="B22" s="115"/>
      <c r="C22" s="165" t="s">
        <v>266</v>
      </c>
      <c r="D22" s="91"/>
      <c r="E22" s="91"/>
      <c r="F22" s="91"/>
      <c r="G22" s="91"/>
      <c r="H22" s="91"/>
      <c r="I22" s="91"/>
      <c r="J22" s="91"/>
      <c r="K22" s="91"/>
      <c r="L22" s="91"/>
      <c r="M22" s="91"/>
      <c r="N22" s="91"/>
      <c r="O22" s="91"/>
      <c r="P22" s="92"/>
      <c r="Q22" s="7"/>
    </row>
    <row r="23" spans="1:17" ht="30" customHeight="1" x14ac:dyDescent="0.25">
      <c r="A23" s="89"/>
      <c r="B23" s="90"/>
      <c r="C23" s="97"/>
      <c r="D23" s="98"/>
      <c r="E23" s="98"/>
      <c r="F23" s="98"/>
      <c r="G23" s="98"/>
      <c r="H23" s="98"/>
      <c r="I23" s="98"/>
      <c r="J23" s="98"/>
      <c r="K23" s="98"/>
      <c r="L23" s="98"/>
      <c r="M23" s="98"/>
      <c r="N23" s="98"/>
      <c r="O23" s="98"/>
      <c r="P23" s="99"/>
      <c r="Q23" s="7"/>
    </row>
    <row r="24" spans="1:17" ht="30" customHeight="1" x14ac:dyDescent="0.25">
      <c r="A24" s="89"/>
      <c r="B24" s="90"/>
      <c r="C24" s="91"/>
      <c r="D24" s="91"/>
      <c r="E24" s="91"/>
      <c r="F24" s="91"/>
      <c r="G24" s="91"/>
      <c r="H24" s="91"/>
      <c r="I24" s="91"/>
      <c r="J24" s="91"/>
      <c r="K24" s="91"/>
      <c r="L24" s="91"/>
      <c r="M24" s="91"/>
      <c r="N24" s="91"/>
      <c r="O24" s="91"/>
      <c r="P24" s="92"/>
      <c r="Q24" s="7"/>
    </row>
    <row r="25" spans="1:17" ht="30" customHeight="1" x14ac:dyDescent="0.25">
      <c r="A25" s="89"/>
      <c r="B25" s="90"/>
      <c r="C25" s="91"/>
      <c r="D25" s="91"/>
      <c r="E25" s="91"/>
      <c r="F25" s="91"/>
      <c r="G25" s="91"/>
      <c r="H25" s="91"/>
      <c r="I25" s="91"/>
      <c r="J25" s="91"/>
      <c r="K25" s="91"/>
      <c r="L25" s="91"/>
      <c r="M25" s="91"/>
      <c r="N25" s="91"/>
      <c r="O25" s="91"/>
      <c r="P25" s="92"/>
    </row>
    <row r="26" spans="1:17" ht="30" customHeight="1" thickBot="1" x14ac:dyDescent="0.3">
      <c r="A26" s="93"/>
      <c r="B26" s="94"/>
      <c r="C26" s="95"/>
      <c r="D26" s="95"/>
      <c r="E26" s="95"/>
      <c r="F26" s="95"/>
      <c r="G26" s="95"/>
      <c r="H26" s="95"/>
      <c r="I26" s="95"/>
      <c r="J26" s="95"/>
      <c r="K26" s="95"/>
      <c r="L26" s="95"/>
      <c r="M26" s="95"/>
      <c r="N26" s="95"/>
      <c r="O26" s="95"/>
      <c r="P26" s="96"/>
    </row>
  </sheetData>
  <mergeCells count="86">
    <mergeCell ref="A1:P1"/>
    <mergeCell ref="A2:P2"/>
    <mergeCell ref="B3:H3"/>
    <mergeCell ref="I3:J3"/>
    <mergeCell ref="K3:L3"/>
    <mergeCell ref="M3:P3"/>
    <mergeCell ref="N7:P7"/>
    <mergeCell ref="B4:H4"/>
    <mergeCell ref="I4:J4"/>
    <mergeCell ref="K4:L4"/>
    <mergeCell ref="O4:P4"/>
    <mergeCell ref="G5:H5"/>
    <mergeCell ref="I5:J5"/>
    <mergeCell ref="K5:L5"/>
    <mergeCell ref="O5:P5"/>
    <mergeCell ref="A7:B7"/>
    <mergeCell ref="C7:F7"/>
    <mergeCell ref="G7:H7"/>
    <mergeCell ref="I7:K7"/>
    <mergeCell ref="L7:M7"/>
    <mergeCell ref="A8:P8"/>
    <mergeCell ref="A9:P9"/>
    <mergeCell ref="A10:B10"/>
    <mergeCell ref="C10:D10"/>
    <mergeCell ref="E10:F10"/>
    <mergeCell ref="G10:H10"/>
    <mergeCell ref="I10:J10"/>
    <mergeCell ref="K10:P10"/>
    <mergeCell ref="K12:P12"/>
    <mergeCell ref="A11:B11"/>
    <mergeCell ref="C11:D11"/>
    <mergeCell ref="E11:F11"/>
    <mergeCell ref="G11:H11"/>
    <mergeCell ref="I11:J11"/>
    <mergeCell ref="K11:P11"/>
    <mergeCell ref="A12:B12"/>
    <mergeCell ref="C12:D12"/>
    <mergeCell ref="E12:F12"/>
    <mergeCell ref="G12:H12"/>
    <mergeCell ref="I12:J12"/>
    <mergeCell ref="K14:P14"/>
    <mergeCell ref="A13:B13"/>
    <mergeCell ref="C13:D13"/>
    <mergeCell ref="E13:F13"/>
    <mergeCell ref="G13:H13"/>
    <mergeCell ref="I13:J13"/>
    <mergeCell ref="K13:P13"/>
    <mergeCell ref="A14:B14"/>
    <mergeCell ref="C14:D14"/>
    <mergeCell ref="E14:F14"/>
    <mergeCell ref="G14:H14"/>
    <mergeCell ref="I14:J14"/>
    <mergeCell ref="K16:P16"/>
    <mergeCell ref="A15:B15"/>
    <mergeCell ref="C15:D15"/>
    <mergeCell ref="E15:F15"/>
    <mergeCell ref="G15:H15"/>
    <mergeCell ref="I15:J15"/>
    <mergeCell ref="K15:P15"/>
    <mergeCell ref="A16:B16"/>
    <mergeCell ref="C16:D16"/>
    <mergeCell ref="E16:F16"/>
    <mergeCell ref="G16:H16"/>
    <mergeCell ref="I16:J16"/>
    <mergeCell ref="A23:B23"/>
    <mergeCell ref="C23:P23"/>
    <mergeCell ref="A17:P17"/>
    <mergeCell ref="A18:C18"/>
    <mergeCell ref="D18:I18"/>
    <mergeCell ref="J18:K18"/>
    <mergeCell ref="L18:P18"/>
    <mergeCell ref="A19:C19"/>
    <mergeCell ref="D19:I19"/>
    <mergeCell ref="J19:K19"/>
    <mergeCell ref="L19:P19"/>
    <mergeCell ref="A20:P20"/>
    <mergeCell ref="A21:B21"/>
    <mergeCell ref="C21:P21"/>
    <mergeCell ref="A22:B22"/>
    <mergeCell ref="C22:P22"/>
    <mergeCell ref="A24:B24"/>
    <mergeCell ref="C24:P24"/>
    <mergeCell ref="A25:B25"/>
    <mergeCell ref="C25:P25"/>
    <mergeCell ref="A26:B26"/>
    <mergeCell ref="C26:P26"/>
  </mergeCells>
  <hyperlinks>
    <hyperlink ref="K11" r:id="rId1"/>
  </hyperlinks>
  <pageMargins left="0.25" right="0.25" top="0.75" bottom="0.75" header="0.3" footer="0.3"/>
  <pageSetup paperSize="9" orientation="landscape" horizontalDpi="0" verticalDpi="0"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8"/>
  <dimension ref="A1:Q26"/>
  <sheetViews>
    <sheetView tabSelected="1" zoomScale="115" zoomScaleNormal="115" workbookViewId="0">
      <selection activeCell="M5" sqref="M5:N5"/>
    </sheetView>
  </sheetViews>
  <sheetFormatPr baseColWidth="10" defaultColWidth="9.140625" defaultRowHeight="15" x14ac:dyDescent="0.25"/>
  <cols>
    <col min="1" max="16" width="8.7109375" style="1" customWidth="1"/>
    <col min="17" max="16384" width="9.140625" style="1"/>
  </cols>
  <sheetData>
    <row r="1" spans="1:16" ht="28.5" x14ac:dyDescent="0.25">
      <c r="A1" s="150" t="s">
        <v>267</v>
      </c>
      <c r="B1" s="150"/>
      <c r="C1" s="150"/>
      <c r="D1" s="150"/>
      <c r="E1" s="150"/>
      <c r="F1" s="150"/>
      <c r="G1" s="150"/>
      <c r="H1" s="150"/>
      <c r="I1" s="150"/>
      <c r="J1" s="150"/>
      <c r="K1" s="150"/>
      <c r="L1" s="150"/>
      <c r="M1" s="150"/>
      <c r="N1" s="150"/>
      <c r="O1" s="150"/>
      <c r="P1" s="150"/>
    </row>
    <row r="2" spans="1:16" ht="23.25" customHeight="1" thickBot="1" x14ac:dyDescent="0.3">
      <c r="A2" s="151"/>
      <c r="B2" s="151"/>
      <c r="C2" s="151"/>
      <c r="D2" s="151"/>
      <c r="E2" s="151"/>
      <c r="F2" s="151"/>
      <c r="G2" s="151"/>
      <c r="H2" s="151"/>
      <c r="I2" s="151"/>
      <c r="J2" s="151"/>
      <c r="K2" s="151"/>
      <c r="L2" s="151"/>
      <c r="M2" s="151"/>
      <c r="N2" s="151"/>
      <c r="O2" s="151"/>
      <c r="P2" s="151"/>
    </row>
    <row r="3" spans="1:16" x14ac:dyDescent="0.25">
      <c r="A3" s="2" t="s">
        <v>1</v>
      </c>
      <c r="B3" s="103" t="s">
        <v>268</v>
      </c>
      <c r="C3" s="103"/>
      <c r="D3" s="103"/>
      <c r="E3" s="103"/>
      <c r="F3" s="103"/>
      <c r="G3" s="103"/>
      <c r="H3" s="152"/>
      <c r="I3" s="101" t="s">
        <v>6</v>
      </c>
      <c r="J3" s="102"/>
      <c r="K3" s="153" t="s">
        <v>37</v>
      </c>
      <c r="L3" s="154"/>
      <c r="M3" s="101" t="s">
        <v>9</v>
      </c>
      <c r="N3" s="102"/>
      <c r="O3" s="102"/>
      <c r="P3" s="137"/>
    </row>
    <row r="4" spans="1:16" x14ac:dyDescent="0.25">
      <c r="A4" s="3" t="s">
        <v>2</v>
      </c>
      <c r="B4" s="119" t="s">
        <v>269</v>
      </c>
      <c r="C4" s="119"/>
      <c r="D4" s="119"/>
      <c r="E4" s="119"/>
      <c r="F4" s="119"/>
      <c r="G4" s="119"/>
      <c r="H4" s="141"/>
      <c r="I4" s="142" t="s">
        <v>7</v>
      </c>
      <c r="J4" s="143"/>
      <c r="K4" s="144">
        <v>15</v>
      </c>
      <c r="L4" s="145"/>
      <c r="M4" s="29" t="s">
        <v>10</v>
      </c>
      <c r="N4" s="30" t="s">
        <v>76</v>
      </c>
      <c r="O4" s="143" t="s">
        <v>11</v>
      </c>
      <c r="P4" s="146"/>
    </row>
    <row r="5" spans="1:16" ht="15.75" thickBot="1" x14ac:dyDescent="0.3">
      <c r="A5" s="4" t="s">
        <v>480</v>
      </c>
      <c r="B5" s="71" t="s">
        <v>532</v>
      </c>
      <c r="C5" s="5" t="s">
        <v>481</v>
      </c>
      <c r="D5" s="70" t="s">
        <v>533</v>
      </c>
      <c r="E5" s="74"/>
      <c r="F5" s="5" t="s">
        <v>12</v>
      </c>
      <c r="G5" s="147"/>
      <c r="H5" s="126"/>
      <c r="I5" s="107" t="s">
        <v>8</v>
      </c>
      <c r="J5" s="108"/>
      <c r="K5" s="148">
        <v>500</v>
      </c>
      <c r="L5" s="149"/>
      <c r="M5" s="32"/>
      <c r="N5" s="31"/>
      <c r="O5" s="148">
        <v>500</v>
      </c>
      <c r="P5" s="149"/>
    </row>
    <row r="6" spans="1:16" ht="15.75" thickBot="1" x14ac:dyDescent="0.3">
      <c r="A6" s="12"/>
      <c r="B6" s="12"/>
      <c r="C6" s="12"/>
      <c r="D6" s="12"/>
      <c r="E6" s="12"/>
      <c r="F6" s="12"/>
      <c r="G6" s="12"/>
      <c r="H6" s="12"/>
      <c r="I6" s="12"/>
      <c r="J6" s="12"/>
      <c r="K6" s="12"/>
      <c r="L6" s="12"/>
      <c r="M6" s="12"/>
      <c r="N6" s="12"/>
      <c r="O6" s="12"/>
      <c r="P6" s="12"/>
    </row>
    <row r="7" spans="1:16" ht="15.75" thickBot="1" x14ac:dyDescent="0.3">
      <c r="A7" s="138" t="s">
        <v>31</v>
      </c>
      <c r="B7" s="139"/>
      <c r="C7" s="131"/>
      <c r="D7" s="131"/>
      <c r="E7" s="131"/>
      <c r="F7" s="131"/>
      <c r="G7" s="139" t="s">
        <v>32</v>
      </c>
      <c r="H7" s="139"/>
      <c r="I7" s="140"/>
      <c r="J7" s="140"/>
      <c r="K7" s="140"/>
      <c r="L7" s="139" t="s">
        <v>33</v>
      </c>
      <c r="M7" s="139"/>
      <c r="N7" s="131"/>
      <c r="O7" s="131"/>
      <c r="P7" s="132"/>
    </row>
    <row r="8" spans="1:16" ht="15.75" thickBot="1" x14ac:dyDescent="0.3">
      <c r="A8" s="133"/>
      <c r="B8" s="133"/>
      <c r="C8" s="133"/>
      <c r="D8" s="133"/>
      <c r="E8" s="133"/>
      <c r="F8" s="133"/>
      <c r="G8" s="133"/>
      <c r="H8" s="133"/>
      <c r="I8" s="133"/>
      <c r="J8" s="133"/>
      <c r="K8" s="133"/>
      <c r="L8" s="133"/>
      <c r="M8" s="133"/>
      <c r="N8" s="133"/>
      <c r="O8" s="133"/>
      <c r="P8" s="133"/>
    </row>
    <row r="9" spans="1:16" ht="15.75" thickBot="1" x14ac:dyDescent="0.3">
      <c r="A9" s="111" t="s">
        <v>13</v>
      </c>
      <c r="B9" s="112"/>
      <c r="C9" s="112"/>
      <c r="D9" s="112"/>
      <c r="E9" s="112"/>
      <c r="F9" s="112"/>
      <c r="G9" s="112"/>
      <c r="H9" s="112"/>
      <c r="I9" s="112"/>
      <c r="J9" s="112"/>
      <c r="K9" s="112"/>
      <c r="L9" s="112"/>
      <c r="M9" s="112"/>
      <c r="N9" s="112"/>
      <c r="O9" s="112"/>
      <c r="P9" s="113"/>
    </row>
    <row r="10" spans="1:16" s="6" customFormat="1" x14ac:dyDescent="0.25">
      <c r="A10" s="134" t="s">
        <v>1</v>
      </c>
      <c r="B10" s="135"/>
      <c r="C10" s="135" t="s">
        <v>3</v>
      </c>
      <c r="D10" s="135"/>
      <c r="E10" s="135" t="s">
        <v>4</v>
      </c>
      <c r="F10" s="135"/>
      <c r="G10" s="104" t="s">
        <v>20</v>
      </c>
      <c r="H10" s="105"/>
      <c r="I10" s="104" t="s">
        <v>21</v>
      </c>
      <c r="J10" s="136"/>
      <c r="K10" s="102" t="s">
        <v>5</v>
      </c>
      <c r="L10" s="102"/>
      <c r="M10" s="102"/>
      <c r="N10" s="102"/>
      <c r="O10" s="102"/>
      <c r="P10" s="137"/>
    </row>
    <row r="11" spans="1:16" x14ac:dyDescent="0.25">
      <c r="A11" s="118" t="s">
        <v>270</v>
      </c>
      <c r="B11" s="119"/>
      <c r="C11" s="119" t="s">
        <v>271</v>
      </c>
      <c r="D11" s="119"/>
      <c r="E11" s="119" t="s">
        <v>71</v>
      </c>
      <c r="F11" s="119"/>
      <c r="G11" s="120">
        <v>161106211</v>
      </c>
      <c r="H11" s="121"/>
      <c r="I11" s="120"/>
      <c r="J11" s="122"/>
      <c r="K11" s="129" t="s">
        <v>272</v>
      </c>
      <c r="L11" s="129"/>
      <c r="M11" s="129"/>
      <c r="N11" s="129"/>
      <c r="O11" s="129"/>
      <c r="P11" s="130"/>
    </row>
    <row r="12" spans="1:16" x14ac:dyDescent="0.25">
      <c r="A12" s="118"/>
      <c r="B12" s="119"/>
      <c r="C12" s="119"/>
      <c r="D12" s="119"/>
      <c r="E12" s="119"/>
      <c r="F12" s="119"/>
      <c r="G12" s="120"/>
      <c r="H12" s="121"/>
      <c r="I12" s="120"/>
      <c r="J12" s="122"/>
      <c r="K12" s="123"/>
      <c r="L12" s="123"/>
      <c r="M12" s="123"/>
      <c r="N12" s="123"/>
      <c r="O12" s="123"/>
      <c r="P12" s="124"/>
    </row>
    <row r="13" spans="1:16" x14ac:dyDescent="0.25">
      <c r="A13" s="118"/>
      <c r="B13" s="119"/>
      <c r="C13" s="119"/>
      <c r="D13" s="119"/>
      <c r="E13" s="119"/>
      <c r="F13" s="119"/>
      <c r="G13" s="120"/>
      <c r="H13" s="121"/>
      <c r="I13" s="120"/>
      <c r="J13" s="122"/>
      <c r="K13" s="123"/>
      <c r="L13" s="123"/>
      <c r="M13" s="123"/>
      <c r="N13" s="123"/>
      <c r="O13" s="123"/>
      <c r="P13" s="124"/>
    </row>
    <row r="14" spans="1:16" x14ac:dyDescent="0.25">
      <c r="A14" s="118"/>
      <c r="B14" s="119"/>
      <c r="C14" s="119"/>
      <c r="D14" s="119"/>
      <c r="E14" s="119"/>
      <c r="F14" s="119"/>
      <c r="G14" s="120"/>
      <c r="H14" s="121"/>
      <c r="I14" s="120"/>
      <c r="J14" s="122"/>
      <c r="K14" s="123"/>
      <c r="L14" s="123"/>
      <c r="M14" s="123"/>
      <c r="N14" s="123"/>
      <c r="O14" s="123"/>
      <c r="P14" s="124"/>
    </row>
    <row r="15" spans="1:16" x14ac:dyDescent="0.25">
      <c r="A15" s="118"/>
      <c r="B15" s="119"/>
      <c r="C15" s="119"/>
      <c r="D15" s="119"/>
      <c r="E15" s="119"/>
      <c r="F15" s="119"/>
      <c r="G15" s="120"/>
      <c r="H15" s="121"/>
      <c r="I15" s="120"/>
      <c r="J15" s="122"/>
      <c r="K15" s="123"/>
      <c r="L15" s="123"/>
      <c r="M15" s="123"/>
      <c r="N15" s="123"/>
      <c r="O15" s="123"/>
      <c r="P15" s="124"/>
    </row>
    <row r="16" spans="1:16" ht="15.75" thickBot="1" x14ac:dyDescent="0.3">
      <c r="A16" s="125"/>
      <c r="B16" s="109"/>
      <c r="C16" s="109"/>
      <c r="D16" s="109"/>
      <c r="E16" s="109"/>
      <c r="F16" s="109"/>
      <c r="G16" s="126"/>
      <c r="H16" s="127"/>
      <c r="I16" s="126"/>
      <c r="J16" s="128"/>
      <c r="K16" s="116"/>
      <c r="L16" s="116"/>
      <c r="M16" s="116"/>
      <c r="N16" s="116"/>
      <c r="O16" s="116"/>
      <c r="P16" s="117"/>
    </row>
    <row r="17" spans="1:17" ht="15.75" thickBot="1" x14ac:dyDescent="0.3">
      <c r="A17" s="100"/>
      <c r="B17" s="100"/>
      <c r="C17" s="100"/>
      <c r="D17" s="100"/>
      <c r="E17" s="100"/>
      <c r="F17" s="100"/>
      <c r="G17" s="100"/>
      <c r="H17" s="100"/>
      <c r="I17" s="100"/>
      <c r="J17" s="100"/>
      <c r="K17" s="100"/>
      <c r="L17" s="100"/>
      <c r="M17" s="100"/>
      <c r="N17" s="100"/>
      <c r="O17" s="100"/>
      <c r="P17" s="100"/>
    </row>
    <row r="18" spans="1:17" x14ac:dyDescent="0.25">
      <c r="A18" s="101" t="s">
        <v>23</v>
      </c>
      <c r="B18" s="102"/>
      <c r="C18" s="102"/>
      <c r="D18" s="103"/>
      <c r="E18" s="103"/>
      <c r="F18" s="103"/>
      <c r="G18" s="103"/>
      <c r="H18" s="103"/>
      <c r="I18" s="103"/>
      <c r="J18" s="104" t="s">
        <v>25</v>
      </c>
      <c r="K18" s="105"/>
      <c r="L18" s="103"/>
      <c r="M18" s="103"/>
      <c r="N18" s="103"/>
      <c r="O18" s="103"/>
      <c r="P18" s="106"/>
    </row>
    <row r="19" spans="1:17" ht="15.75" thickBot="1" x14ac:dyDescent="0.3">
      <c r="A19" s="107" t="s">
        <v>24</v>
      </c>
      <c r="B19" s="108"/>
      <c r="C19" s="108"/>
      <c r="D19" s="109"/>
      <c r="E19" s="109"/>
      <c r="F19" s="109"/>
      <c r="G19" s="109"/>
      <c r="H19" s="109"/>
      <c r="I19" s="109"/>
      <c r="J19" s="108" t="s">
        <v>26</v>
      </c>
      <c r="K19" s="108"/>
      <c r="L19" s="109"/>
      <c r="M19" s="109"/>
      <c r="N19" s="109"/>
      <c r="O19" s="109"/>
      <c r="P19" s="110"/>
    </row>
    <row r="20" spans="1:17" ht="15.75" thickBot="1" x14ac:dyDescent="0.3">
      <c r="A20" s="100"/>
      <c r="B20" s="100"/>
      <c r="C20" s="100"/>
      <c r="D20" s="100"/>
      <c r="E20" s="100"/>
      <c r="F20" s="100"/>
      <c r="G20" s="100"/>
      <c r="H20" s="100"/>
      <c r="I20" s="100"/>
      <c r="J20" s="100"/>
      <c r="K20" s="100"/>
      <c r="L20" s="100"/>
      <c r="M20" s="100"/>
      <c r="N20" s="100"/>
      <c r="O20" s="100"/>
      <c r="P20" s="100"/>
    </row>
    <row r="21" spans="1:17" ht="15.75" thickBot="1" x14ac:dyDescent="0.3">
      <c r="A21" s="111" t="s">
        <v>27</v>
      </c>
      <c r="B21" s="112"/>
      <c r="C21" s="112" t="s">
        <v>28</v>
      </c>
      <c r="D21" s="112"/>
      <c r="E21" s="112"/>
      <c r="F21" s="112"/>
      <c r="G21" s="112"/>
      <c r="H21" s="112"/>
      <c r="I21" s="112"/>
      <c r="J21" s="112"/>
      <c r="K21" s="112"/>
      <c r="L21" s="112"/>
      <c r="M21" s="112"/>
      <c r="N21" s="112"/>
      <c r="O21" s="112"/>
      <c r="P21" s="113"/>
      <c r="Q21" s="7"/>
    </row>
    <row r="22" spans="1:17" ht="30" customHeight="1" x14ac:dyDescent="0.25">
      <c r="A22" s="114">
        <v>42128</v>
      </c>
      <c r="B22" s="115"/>
      <c r="C22" s="91" t="s">
        <v>273</v>
      </c>
      <c r="D22" s="91"/>
      <c r="E22" s="91"/>
      <c r="F22" s="91"/>
      <c r="G22" s="91"/>
      <c r="H22" s="91"/>
      <c r="I22" s="91"/>
      <c r="J22" s="91"/>
      <c r="K22" s="91"/>
      <c r="L22" s="91"/>
      <c r="M22" s="91"/>
      <c r="N22" s="91"/>
      <c r="O22" s="91"/>
      <c r="P22" s="92"/>
      <c r="Q22" s="7"/>
    </row>
    <row r="23" spans="1:17" ht="30" customHeight="1" x14ac:dyDescent="0.25">
      <c r="A23" s="89"/>
      <c r="B23" s="90"/>
      <c r="C23" s="97"/>
      <c r="D23" s="98"/>
      <c r="E23" s="98"/>
      <c r="F23" s="98"/>
      <c r="G23" s="98"/>
      <c r="H23" s="98"/>
      <c r="I23" s="98"/>
      <c r="J23" s="98"/>
      <c r="K23" s="98"/>
      <c r="L23" s="98"/>
      <c r="M23" s="98"/>
      <c r="N23" s="98"/>
      <c r="O23" s="98"/>
      <c r="P23" s="99"/>
      <c r="Q23" s="7"/>
    </row>
    <row r="24" spans="1:17" ht="30" customHeight="1" x14ac:dyDescent="0.25">
      <c r="A24" s="89"/>
      <c r="B24" s="90"/>
      <c r="C24" s="91"/>
      <c r="D24" s="91"/>
      <c r="E24" s="91"/>
      <c r="F24" s="91"/>
      <c r="G24" s="91"/>
      <c r="H24" s="91"/>
      <c r="I24" s="91"/>
      <c r="J24" s="91"/>
      <c r="K24" s="91"/>
      <c r="L24" s="91"/>
      <c r="M24" s="91"/>
      <c r="N24" s="91"/>
      <c r="O24" s="91"/>
      <c r="P24" s="92"/>
      <c r="Q24" s="7"/>
    </row>
    <row r="25" spans="1:17" ht="30" customHeight="1" x14ac:dyDescent="0.25">
      <c r="A25" s="89"/>
      <c r="B25" s="90"/>
      <c r="C25" s="91"/>
      <c r="D25" s="91"/>
      <c r="E25" s="91"/>
      <c r="F25" s="91"/>
      <c r="G25" s="91"/>
      <c r="H25" s="91"/>
      <c r="I25" s="91"/>
      <c r="J25" s="91"/>
      <c r="K25" s="91"/>
      <c r="L25" s="91"/>
      <c r="M25" s="91"/>
      <c r="N25" s="91"/>
      <c r="O25" s="91"/>
      <c r="P25" s="92"/>
    </row>
    <row r="26" spans="1:17" ht="30" customHeight="1" thickBot="1" x14ac:dyDescent="0.3">
      <c r="A26" s="93"/>
      <c r="B26" s="94"/>
      <c r="C26" s="95"/>
      <c r="D26" s="95"/>
      <c r="E26" s="95"/>
      <c r="F26" s="95"/>
      <c r="G26" s="95"/>
      <c r="H26" s="95"/>
      <c r="I26" s="95"/>
      <c r="J26" s="95"/>
      <c r="K26" s="95"/>
      <c r="L26" s="95"/>
      <c r="M26" s="95"/>
      <c r="N26" s="95"/>
      <c r="O26" s="95"/>
      <c r="P26" s="96"/>
    </row>
  </sheetData>
  <mergeCells count="86">
    <mergeCell ref="A24:B24"/>
    <mergeCell ref="C24:P24"/>
    <mergeCell ref="A25:B25"/>
    <mergeCell ref="C25:P25"/>
    <mergeCell ref="A26:B26"/>
    <mergeCell ref="C26:P26"/>
    <mergeCell ref="A23:B23"/>
    <mergeCell ref="C23:P23"/>
    <mergeCell ref="A17:P17"/>
    <mergeCell ref="A18:C18"/>
    <mergeCell ref="D18:I18"/>
    <mergeCell ref="J18:K18"/>
    <mergeCell ref="L18:P18"/>
    <mergeCell ref="A19:C19"/>
    <mergeCell ref="D19:I19"/>
    <mergeCell ref="J19:K19"/>
    <mergeCell ref="L19:P19"/>
    <mergeCell ref="A20:P20"/>
    <mergeCell ref="A21:B21"/>
    <mergeCell ref="C21:P21"/>
    <mergeCell ref="A22:B22"/>
    <mergeCell ref="C22:P22"/>
    <mergeCell ref="K16:P16"/>
    <mergeCell ref="A15:B15"/>
    <mergeCell ref="C15:D15"/>
    <mergeCell ref="E15:F15"/>
    <mergeCell ref="G15:H15"/>
    <mergeCell ref="I15:J15"/>
    <mergeCell ref="K15:P15"/>
    <mergeCell ref="A16:B16"/>
    <mergeCell ref="C16:D16"/>
    <mergeCell ref="E16:F16"/>
    <mergeCell ref="G16:H16"/>
    <mergeCell ref="I16:J16"/>
    <mergeCell ref="K14:P14"/>
    <mergeCell ref="A13:B13"/>
    <mergeCell ref="C13:D13"/>
    <mergeCell ref="E13:F13"/>
    <mergeCell ref="G13:H13"/>
    <mergeCell ref="I13:J13"/>
    <mergeCell ref="K13:P13"/>
    <mergeCell ref="A14:B14"/>
    <mergeCell ref="C14:D14"/>
    <mergeCell ref="E14:F14"/>
    <mergeCell ref="G14:H14"/>
    <mergeCell ref="I14:J14"/>
    <mergeCell ref="K12:P12"/>
    <mergeCell ref="A11:B11"/>
    <mergeCell ref="C11:D11"/>
    <mergeCell ref="E11:F11"/>
    <mergeCell ref="G11:H11"/>
    <mergeCell ref="I11:J11"/>
    <mergeCell ref="K11:P11"/>
    <mergeCell ref="A12:B12"/>
    <mergeCell ref="C12:D12"/>
    <mergeCell ref="E12:F12"/>
    <mergeCell ref="G12:H12"/>
    <mergeCell ref="I12:J12"/>
    <mergeCell ref="A8:P8"/>
    <mergeCell ref="A9:P9"/>
    <mergeCell ref="A10:B10"/>
    <mergeCell ref="C10:D10"/>
    <mergeCell ref="E10:F10"/>
    <mergeCell ref="G10:H10"/>
    <mergeCell ref="I10:J10"/>
    <mergeCell ref="K10:P10"/>
    <mergeCell ref="N7:P7"/>
    <mergeCell ref="B4:H4"/>
    <mergeCell ref="I4:J4"/>
    <mergeCell ref="K4:L4"/>
    <mergeCell ref="O4:P4"/>
    <mergeCell ref="G5:H5"/>
    <mergeCell ref="I5:J5"/>
    <mergeCell ref="K5:L5"/>
    <mergeCell ref="O5:P5"/>
    <mergeCell ref="A7:B7"/>
    <mergeCell ref="C7:F7"/>
    <mergeCell ref="G7:H7"/>
    <mergeCell ref="I7:K7"/>
    <mergeCell ref="L7:M7"/>
    <mergeCell ref="A1:P1"/>
    <mergeCell ref="A2:P2"/>
    <mergeCell ref="B3:H3"/>
    <mergeCell ref="I3:J3"/>
    <mergeCell ref="K3:L3"/>
    <mergeCell ref="M3:P3"/>
  </mergeCells>
  <hyperlinks>
    <hyperlink ref="K11" r:id="rId1"/>
  </hyperlinks>
  <pageMargins left="0.25" right="0.25" top="0.75" bottom="0.75" header="0.3" footer="0.3"/>
  <pageSetup paperSize="9" orientation="landscape" horizontalDpi="0" verticalDpi="0"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9"/>
  <dimension ref="A1:Q26"/>
  <sheetViews>
    <sheetView tabSelected="1" zoomScale="115" zoomScaleNormal="115" workbookViewId="0">
      <selection activeCell="M5" sqref="M5:N5"/>
    </sheetView>
  </sheetViews>
  <sheetFormatPr baseColWidth="10" defaultColWidth="9.140625" defaultRowHeight="15" x14ac:dyDescent="0.25"/>
  <cols>
    <col min="1" max="16" width="8.7109375" style="1" customWidth="1"/>
    <col min="17" max="16384" width="9.140625" style="1"/>
  </cols>
  <sheetData>
    <row r="1" spans="1:16" ht="28.5" x14ac:dyDescent="0.25">
      <c r="A1" s="150" t="s">
        <v>274</v>
      </c>
      <c r="B1" s="150"/>
      <c r="C1" s="150"/>
      <c r="D1" s="150"/>
      <c r="E1" s="150"/>
      <c r="F1" s="150"/>
      <c r="G1" s="150"/>
      <c r="H1" s="150"/>
      <c r="I1" s="150"/>
      <c r="J1" s="150"/>
      <c r="K1" s="150"/>
      <c r="L1" s="150"/>
      <c r="M1" s="150"/>
      <c r="N1" s="150"/>
      <c r="O1" s="150"/>
      <c r="P1" s="150"/>
    </row>
    <row r="2" spans="1:16" ht="23.25" customHeight="1" thickBot="1" x14ac:dyDescent="0.3">
      <c r="A2" s="151"/>
      <c r="B2" s="151"/>
      <c r="C2" s="151"/>
      <c r="D2" s="151"/>
      <c r="E2" s="151"/>
      <c r="F2" s="151"/>
      <c r="G2" s="151"/>
      <c r="H2" s="151"/>
      <c r="I2" s="151"/>
      <c r="J2" s="151"/>
      <c r="K2" s="151"/>
      <c r="L2" s="151"/>
      <c r="M2" s="151"/>
      <c r="N2" s="151"/>
      <c r="O2" s="151"/>
      <c r="P2" s="151"/>
    </row>
    <row r="3" spans="1:16" x14ac:dyDescent="0.25">
      <c r="A3" s="2" t="s">
        <v>1</v>
      </c>
      <c r="B3" s="103" t="s">
        <v>275</v>
      </c>
      <c r="C3" s="103"/>
      <c r="D3" s="103"/>
      <c r="E3" s="103"/>
      <c r="F3" s="103"/>
      <c r="G3" s="103"/>
      <c r="H3" s="152"/>
      <c r="I3" s="101" t="s">
        <v>6</v>
      </c>
      <c r="J3" s="102"/>
      <c r="K3" s="153" t="s">
        <v>37</v>
      </c>
      <c r="L3" s="154"/>
      <c r="M3" s="101" t="s">
        <v>9</v>
      </c>
      <c r="N3" s="102"/>
      <c r="O3" s="102"/>
      <c r="P3" s="137"/>
    </row>
    <row r="4" spans="1:16" x14ac:dyDescent="0.25">
      <c r="A4" s="3" t="s">
        <v>2</v>
      </c>
      <c r="B4" s="119" t="s">
        <v>276</v>
      </c>
      <c r="C4" s="119"/>
      <c r="D4" s="119"/>
      <c r="E4" s="119"/>
      <c r="F4" s="119"/>
      <c r="G4" s="119"/>
      <c r="H4" s="141"/>
      <c r="I4" s="142" t="s">
        <v>7</v>
      </c>
      <c r="J4" s="143"/>
      <c r="K4" s="144">
        <v>12</v>
      </c>
      <c r="L4" s="145"/>
      <c r="M4" s="29" t="s">
        <v>10</v>
      </c>
      <c r="N4" s="30" t="s">
        <v>76</v>
      </c>
      <c r="O4" s="143" t="s">
        <v>11</v>
      </c>
      <c r="P4" s="146"/>
    </row>
    <row r="5" spans="1:16" ht="15.75" thickBot="1" x14ac:dyDescent="0.3">
      <c r="A5" s="4" t="s">
        <v>480</v>
      </c>
      <c r="B5" s="71" t="s">
        <v>534</v>
      </c>
      <c r="C5" s="5" t="s">
        <v>481</v>
      </c>
      <c r="D5" s="70" t="s">
        <v>274</v>
      </c>
      <c r="E5" s="74"/>
      <c r="F5" s="5" t="s">
        <v>12</v>
      </c>
      <c r="G5" s="147">
        <v>251446161</v>
      </c>
      <c r="H5" s="126"/>
      <c r="I5" s="107" t="s">
        <v>8</v>
      </c>
      <c r="J5" s="108"/>
      <c r="K5" s="148">
        <v>420</v>
      </c>
      <c r="L5" s="149"/>
      <c r="M5" s="32"/>
      <c r="N5" s="31"/>
      <c r="O5" s="148"/>
      <c r="P5" s="149"/>
    </row>
    <row r="6" spans="1:16" ht="15.75" thickBot="1" x14ac:dyDescent="0.3">
      <c r="A6" s="12"/>
      <c r="B6" s="12"/>
      <c r="C6" s="12"/>
      <c r="D6" s="12"/>
      <c r="E6" s="12"/>
      <c r="F6" s="12"/>
      <c r="G6" s="12"/>
      <c r="H6" s="12"/>
      <c r="I6" s="12"/>
      <c r="J6" s="12"/>
      <c r="K6" s="12"/>
      <c r="L6" s="12"/>
      <c r="M6" s="12"/>
      <c r="N6" s="12"/>
      <c r="O6" s="12"/>
      <c r="P6" s="12"/>
    </row>
    <row r="7" spans="1:16" ht="15.75" thickBot="1" x14ac:dyDescent="0.3">
      <c r="A7" s="138" t="s">
        <v>31</v>
      </c>
      <c r="B7" s="139"/>
      <c r="C7" s="131"/>
      <c r="D7" s="131"/>
      <c r="E7" s="131"/>
      <c r="F7" s="131"/>
      <c r="G7" s="139" t="s">
        <v>32</v>
      </c>
      <c r="H7" s="139"/>
      <c r="I7" s="140"/>
      <c r="J7" s="140"/>
      <c r="K7" s="140"/>
      <c r="L7" s="139" t="s">
        <v>33</v>
      </c>
      <c r="M7" s="139"/>
      <c r="N7" s="131"/>
      <c r="O7" s="131"/>
      <c r="P7" s="132"/>
    </row>
    <row r="8" spans="1:16" ht="15.75" thickBot="1" x14ac:dyDescent="0.3">
      <c r="A8" s="133"/>
      <c r="B8" s="133"/>
      <c r="C8" s="133"/>
      <c r="D8" s="133"/>
      <c r="E8" s="133"/>
      <c r="F8" s="133"/>
      <c r="G8" s="133"/>
      <c r="H8" s="133"/>
      <c r="I8" s="133"/>
      <c r="J8" s="133"/>
      <c r="K8" s="133"/>
      <c r="L8" s="133"/>
      <c r="M8" s="133"/>
      <c r="N8" s="133"/>
      <c r="O8" s="133"/>
      <c r="P8" s="133"/>
    </row>
    <row r="9" spans="1:16" ht="15.75" thickBot="1" x14ac:dyDescent="0.3">
      <c r="A9" s="111" t="s">
        <v>13</v>
      </c>
      <c r="B9" s="112"/>
      <c r="C9" s="112"/>
      <c r="D9" s="112"/>
      <c r="E9" s="112"/>
      <c r="F9" s="112"/>
      <c r="G9" s="112"/>
      <c r="H9" s="112"/>
      <c r="I9" s="112"/>
      <c r="J9" s="112"/>
      <c r="K9" s="112"/>
      <c r="L9" s="112"/>
      <c r="M9" s="112"/>
      <c r="N9" s="112"/>
      <c r="O9" s="112"/>
      <c r="P9" s="113"/>
    </row>
    <row r="10" spans="1:16" s="6" customFormat="1" x14ac:dyDescent="0.25">
      <c r="A10" s="134" t="s">
        <v>1</v>
      </c>
      <c r="B10" s="135"/>
      <c r="C10" s="135" t="s">
        <v>3</v>
      </c>
      <c r="D10" s="135"/>
      <c r="E10" s="135" t="s">
        <v>4</v>
      </c>
      <c r="F10" s="135"/>
      <c r="G10" s="104" t="s">
        <v>20</v>
      </c>
      <c r="H10" s="105"/>
      <c r="I10" s="104" t="s">
        <v>21</v>
      </c>
      <c r="J10" s="136"/>
      <c r="K10" s="102" t="s">
        <v>5</v>
      </c>
      <c r="L10" s="102"/>
      <c r="M10" s="102"/>
      <c r="N10" s="102"/>
      <c r="O10" s="102"/>
      <c r="P10" s="137"/>
    </row>
    <row r="11" spans="1:16" x14ac:dyDescent="0.25">
      <c r="A11" s="118" t="s">
        <v>277</v>
      </c>
      <c r="B11" s="119"/>
      <c r="C11" s="119" t="s">
        <v>278</v>
      </c>
      <c r="D11" s="119"/>
      <c r="E11" s="119" t="s">
        <v>279</v>
      </c>
      <c r="F11" s="119"/>
      <c r="G11" s="120"/>
      <c r="H11" s="121"/>
      <c r="I11" s="120"/>
      <c r="J11" s="122"/>
      <c r="K11" s="129" t="s">
        <v>280</v>
      </c>
      <c r="L11" s="129"/>
      <c r="M11" s="129"/>
      <c r="N11" s="129"/>
      <c r="O11" s="129"/>
      <c r="P11" s="130"/>
    </row>
    <row r="12" spans="1:16" x14ac:dyDescent="0.25">
      <c r="A12" s="118"/>
      <c r="B12" s="119"/>
      <c r="C12" s="119"/>
      <c r="D12" s="119"/>
      <c r="E12" s="119"/>
      <c r="F12" s="119"/>
      <c r="G12" s="120"/>
      <c r="H12" s="121"/>
      <c r="I12" s="120"/>
      <c r="J12" s="122"/>
      <c r="K12" s="123"/>
      <c r="L12" s="123"/>
      <c r="M12" s="123"/>
      <c r="N12" s="123"/>
      <c r="O12" s="123"/>
      <c r="P12" s="124"/>
    </row>
    <row r="13" spans="1:16" x14ac:dyDescent="0.25">
      <c r="A13" s="118"/>
      <c r="B13" s="119"/>
      <c r="C13" s="119"/>
      <c r="D13" s="119"/>
      <c r="E13" s="119"/>
      <c r="F13" s="119"/>
      <c r="G13" s="120"/>
      <c r="H13" s="121"/>
      <c r="I13" s="120"/>
      <c r="J13" s="122"/>
      <c r="K13" s="123"/>
      <c r="L13" s="123"/>
      <c r="M13" s="123"/>
      <c r="N13" s="123"/>
      <c r="O13" s="123"/>
      <c r="P13" s="124"/>
    </row>
    <row r="14" spans="1:16" x14ac:dyDescent="0.25">
      <c r="A14" s="118"/>
      <c r="B14" s="119"/>
      <c r="C14" s="119"/>
      <c r="D14" s="119"/>
      <c r="E14" s="119"/>
      <c r="F14" s="119"/>
      <c r="G14" s="120"/>
      <c r="H14" s="121"/>
      <c r="I14" s="120"/>
      <c r="J14" s="122"/>
      <c r="K14" s="123"/>
      <c r="L14" s="123"/>
      <c r="M14" s="123"/>
      <c r="N14" s="123"/>
      <c r="O14" s="123"/>
      <c r="P14" s="124"/>
    </row>
    <row r="15" spans="1:16" x14ac:dyDescent="0.25">
      <c r="A15" s="118"/>
      <c r="B15" s="119"/>
      <c r="C15" s="119"/>
      <c r="D15" s="119"/>
      <c r="E15" s="119"/>
      <c r="F15" s="119"/>
      <c r="G15" s="120"/>
      <c r="H15" s="121"/>
      <c r="I15" s="120"/>
      <c r="J15" s="122"/>
      <c r="K15" s="123"/>
      <c r="L15" s="123"/>
      <c r="M15" s="123"/>
      <c r="N15" s="123"/>
      <c r="O15" s="123"/>
      <c r="P15" s="124"/>
    </row>
    <row r="16" spans="1:16" ht="15.75" thickBot="1" x14ac:dyDescent="0.3">
      <c r="A16" s="125"/>
      <c r="B16" s="109"/>
      <c r="C16" s="109"/>
      <c r="D16" s="109"/>
      <c r="E16" s="109"/>
      <c r="F16" s="109"/>
      <c r="G16" s="126"/>
      <c r="H16" s="127"/>
      <c r="I16" s="126"/>
      <c r="J16" s="128"/>
      <c r="K16" s="116"/>
      <c r="L16" s="116"/>
      <c r="M16" s="116"/>
      <c r="N16" s="116"/>
      <c r="O16" s="116"/>
      <c r="P16" s="117"/>
    </row>
    <row r="17" spans="1:17" ht="15.75" thickBot="1" x14ac:dyDescent="0.3">
      <c r="A17" s="100"/>
      <c r="B17" s="100"/>
      <c r="C17" s="100"/>
      <c r="D17" s="100"/>
      <c r="E17" s="100"/>
      <c r="F17" s="100"/>
      <c r="G17" s="100"/>
      <c r="H17" s="100"/>
      <c r="I17" s="100"/>
      <c r="J17" s="100"/>
      <c r="K17" s="100"/>
      <c r="L17" s="100"/>
      <c r="M17" s="100"/>
      <c r="N17" s="100"/>
      <c r="O17" s="100"/>
      <c r="P17" s="100"/>
    </row>
    <row r="18" spans="1:17" x14ac:dyDescent="0.25">
      <c r="A18" s="101" t="s">
        <v>23</v>
      </c>
      <c r="B18" s="102"/>
      <c r="C18" s="102"/>
      <c r="D18" s="103"/>
      <c r="E18" s="103"/>
      <c r="F18" s="103"/>
      <c r="G18" s="103"/>
      <c r="H18" s="103"/>
      <c r="I18" s="103"/>
      <c r="J18" s="104" t="s">
        <v>25</v>
      </c>
      <c r="K18" s="105"/>
      <c r="L18" s="103"/>
      <c r="M18" s="103"/>
      <c r="N18" s="103"/>
      <c r="O18" s="103"/>
      <c r="P18" s="106"/>
    </row>
    <row r="19" spans="1:17" ht="15.75" thickBot="1" x14ac:dyDescent="0.3">
      <c r="A19" s="107" t="s">
        <v>24</v>
      </c>
      <c r="B19" s="108"/>
      <c r="C19" s="108"/>
      <c r="D19" s="109"/>
      <c r="E19" s="109"/>
      <c r="F19" s="109"/>
      <c r="G19" s="109"/>
      <c r="H19" s="109"/>
      <c r="I19" s="109"/>
      <c r="J19" s="108" t="s">
        <v>26</v>
      </c>
      <c r="K19" s="108"/>
      <c r="L19" s="109"/>
      <c r="M19" s="109"/>
      <c r="N19" s="109"/>
      <c r="O19" s="109"/>
      <c r="P19" s="110"/>
    </row>
    <row r="20" spans="1:17" ht="15.75" thickBot="1" x14ac:dyDescent="0.3">
      <c r="A20" s="100"/>
      <c r="B20" s="100"/>
      <c r="C20" s="100"/>
      <c r="D20" s="100"/>
      <c r="E20" s="100"/>
      <c r="F20" s="100"/>
      <c r="G20" s="100"/>
      <c r="H20" s="100"/>
      <c r="I20" s="100"/>
      <c r="J20" s="100"/>
      <c r="K20" s="100"/>
      <c r="L20" s="100"/>
      <c r="M20" s="100"/>
      <c r="N20" s="100"/>
      <c r="O20" s="100"/>
      <c r="P20" s="100"/>
    </row>
    <row r="21" spans="1:17" ht="15.75" thickBot="1" x14ac:dyDescent="0.3">
      <c r="A21" s="111" t="s">
        <v>27</v>
      </c>
      <c r="B21" s="112"/>
      <c r="C21" s="112" t="s">
        <v>28</v>
      </c>
      <c r="D21" s="112"/>
      <c r="E21" s="112"/>
      <c r="F21" s="112"/>
      <c r="G21" s="112"/>
      <c r="H21" s="112"/>
      <c r="I21" s="112"/>
      <c r="J21" s="112"/>
      <c r="K21" s="112"/>
      <c r="L21" s="112"/>
      <c r="M21" s="112"/>
      <c r="N21" s="112"/>
      <c r="O21" s="112"/>
      <c r="P21" s="113"/>
      <c r="Q21" s="7"/>
    </row>
    <row r="22" spans="1:17" ht="30" customHeight="1" x14ac:dyDescent="0.25">
      <c r="A22" s="114">
        <v>42128</v>
      </c>
      <c r="B22" s="115"/>
      <c r="C22" s="91" t="s">
        <v>281</v>
      </c>
      <c r="D22" s="91"/>
      <c r="E22" s="91"/>
      <c r="F22" s="91"/>
      <c r="G22" s="91"/>
      <c r="H22" s="91"/>
      <c r="I22" s="91"/>
      <c r="J22" s="91"/>
      <c r="K22" s="91"/>
      <c r="L22" s="91"/>
      <c r="M22" s="91"/>
      <c r="N22" s="91"/>
      <c r="O22" s="91"/>
      <c r="P22" s="92"/>
      <c r="Q22" s="7"/>
    </row>
    <row r="23" spans="1:17" ht="30" customHeight="1" x14ac:dyDescent="0.25">
      <c r="A23" s="89"/>
      <c r="B23" s="90"/>
      <c r="C23" s="97"/>
      <c r="D23" s="98"/>
      <c r="E23" s="98"/>
      <c r="F23" s="98"/>
      <c r="G23" s="98"/>
      <c r="H23" s="98"/>
      <c r="I23" s="98"/>
      <c r="J23" s="98"/>
      <c r="K23" s="98"/>
      <c r="L23" s="98"/>
      <c r="M23" s="98"/>
      <c r="N23" s="98"/>
      <c r="O23" s="98"/>
      <c r="P23" s="99"/>
      <c r="Q23" s="7"/>
    </row>
    <row r="24" spans="1:17" ht="30" customHeight="1" x14ac:dyDescent="0.25">
      <c r="A24" s="89"/>
      <c r="B24" s="90"/>
      <c r="C24" s="91"/>
      <c r="D24" s="91"/>
      <c r="E24" s="91"/>
      <c r="F24" s="91"/>
      <c r="G24" s="91"/>
      <c r="H24" s="91"/>
      <c r="I24" s="91"/>
      <c r="J24" s="91"/>
      <c r="K24" s="91"/>
      <c r="L24" s="91"/>
      <c r="M24" s="91"/>
      <c r="N24" s="91"/>
      <c r="O24" s="91"/>
      <c r="P24" s="92"/>
      <c r="Q24" s="7"/>
    </row>
    <row r="25" spans="1:17" ht="30" customHeight="1" x14ac:dyDescent="0.25">
      <c r="A25" s="89"/>
      <c r="B25" s="90"/>
      <c r="C25" s="91"/>
      <c r="D25" s="91"/>
      <c r="E25" s="91"/>
      <c r="F25" s="91"/>
      <c r="G25" s="91"/>
      <c r="H25" s="91"/>
      <c r="I25" s="91"/>
      <c r="J25" s="91"/>
      <c r="K25" s="91"/>
      <c r="L25" s="91"/>
      <c r="M25" s="91"/>
      <c r="N25" s="91"/>
      <c r="O25" s="91"/>
      <c r="P25" s="92"/>
    </row>
    <row r="26" spans="1:17" ht="30" customHeight="1" thickBot="1" x14ac:dyDescent="0.3">
      <c r="A26" s="93"/>
      <c r="B26" s="94"/>
      <c r="C26" s="95"/>
      <c r="D26" s="95"/>
      <c r="E26" s="95"/>
      <c r="F26" s="95"/>
      <c r="G26" s="95"/>
      <c r="H26" s="95"/>
      <c r="I26" s="95"/>
      <c r="J26" s="95"/>
      <c r="K26" s="95"/>
      <c r="L26" s="95"/>
      <c r="M26" s="95"/>
      <c r="N26" s="95"/>
      <c r="O26" s="95"/>
      <c r="P26" s="96"/>
    </row>
  </sheetData>
  <mergeCells count="86">
    <mergeCell ref="A24:B24"/>
    <mergeCell ref="C24:P24"/>
    <mergeCell ref="A25:B25"/>
    <mergeCell ref="C25:P25"/>
    <mergeCell ref="A26:B26"/>
    <mergeCell ref="C26:P26"/>
    <mergeCell ref="A23:B23"/>
    <mergeCell ref="C23:P23"/>
    <mergeCell ref="A17:P17"/>
    <mergeCell ref="A18:C18"/>
    <mergeCell ref="D18:I18"/>
    <mergeCell ref="J18:K18"/>
    <mergeCell ref="L18:P18"/>
    <mergeCell ref="A19:C19"/>
    <mergeCell ref="D19:I19"/>
    <mergeCell ref="J19:K19"/>
    <mergeCell ref="L19:P19"/>
    <mergeCell ref="A20:P20"/>
    <mergeCell ref="A21:B21"/>
    <mergeCell ref="C21:P21"/>
    <mergeCell ref="A22:B22"/>
    <mergeCell ref="C22:P22"/>
    <mergeCell ref="K16:P16"/>
    <mergeCell ref="A15:B15"/>
    <mergeCell ref="C15:D15"/>
    <mergeCell ref="E15:F15"/>
    <mergeCell ref="G15:H15"/>
    <mergeCell ref="I15:J15"/>
    <mergeCell ref="K15:P15"/>
    <mergeCell ref="A16:B16"/>
    <mergeCell ref="C16:D16"/>
    <mergeCell ref="E16:F16"/>
    <mergeCell ref="G16:H16"/>
    <mergeCell ref="I16:J16"/>
    <mergeCell ref="K14:P14"/>
    <mergeCell ref="A13:B13"/>
    <mergeCell ref="C13:D13"/>
    <mergeCell ref="E13:F13"/>
    <mergeCell ref="G13:H13"/>
    <mergeCell ref="I13:J13"/>
    <mergeCell ref="K13:P13"/>
    <mergeCell ref="A14:B14"/>
    <mergeCell ref="C14:D14"/>
    <mergeCell ref="E14:F14"/>
    <mergeCell ref="G14:H14"/>
    <mergeCell ref="I14:J14"/>
    <mergeCell ref="K12:P12"/>
    <mergeCell ref="A11:B11"/>
    <mergeCell ref="C11:D11"/>
    <mergeCell ref="E11:F11"/>
    <mergeCell ref="G11:H11"/>
    <mergeCell ref="I11:J11"/>
    <mergeCell ref="K11:P11"/>
    <mergeCell ref="A12:B12"/>
    <mergeCell ref="C12:D12"/>
    <mergeCell ref="E12:F12"/>
    <mergeCell ref="G12:H12"/>
    <mergeCell ref="I12:J12"/>
    <mergeCell ref="A8:P8"/>
    <mergeCell ref="A9:P9"/>
    <mergeCell ref="A10:B10"/>
    <mergeCell ref="C10:D10"/>
    <mergeCell ref="E10:F10"/>
    <mergeCell ref="G10:H10"/>
    <mergeCell ref="I10:J10"/>
    <mergeCell ref="K10:P10"/>
    <mergeCell ref="N7:P7"/>
    <mergeCell ref="B4:H4"/>
    <mergeCell ref="I4:J4"/>
    <mergeCell ref="K4:L4"/>
    <mergeCell ref="O4:P4"/>
    <mergeCell ref="G5:H5"/>
    <mergeCell ref="I5:J5"/>
    <mergeCell ref="K5:L5"/>
    <mergeCell ref="O5:P5"/>
    <mergeCell ref="A7:B7"/>
    <mergeCell ref="C7:F7"/>
    <mergeCell ref="G7:H7"/>
    <mergeCell ref="I7:K7"/>
    <mergeCell ref="L7:M7"/>
    <mergeCell ref="A1:P1"/>
    <mergeCell ref="A2:P2"/>
    <mergeCell ref="B3:H3"/>
    <mergeCell ref="I3:J3"/>
    <mergeCell ref="K3:L3"/>
    <mergeCell ref="M3:P3"/>
  </mergeCells>
  <hyperlinks>
    <hyperlink ref="K11" r:id="rId1"/>
  </hyperlinks>
  <pageMargins left="0.25" right="0.25" top="0.75" bottom="0.75" header="0.3" footer="0.3"/>
  <pageSetup paperSize="9" orientation="landscape" horizontalDpi="0" verticalDpi="0"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0"/>
  <dimension ref="A1:Q26"/>
  <sheetViews>
    <sheetView tabSelected="1" zoomScale="115" zoomScaleNormal="115" workbookViewId="0">
      <selection activeCell="M5" sqref="M5:N5"/>
    </sheetView>
  </sheetViews>
  <sheetFormatPr baseColWidth="10" defaultColWidth="9.140625" defaultRowHeight="15" x14ac:dyDescent="0.25"/>
  <cols>
    <col min="1" max="16" width="8.7109375" style="1" customWidth="1"/>
    <col min="17" max="16384" width="9.140625" style="1"/>
  </cols>
  <sheetData>
    <row r="1" spans="1:16" ht="28.5" x14ac:dyDescent="0.25">
      <c r="A1" s="150" t="s">
        <v>282</v>
      </c>
      <c r="B1" s="150"/>
      <c r="C1" s="150"/>
      <c r="D1" s="150"/>
      <c r="E1" s="150"/>
      <c r="F1" s="150"/>
      <c r="G1" s="150"/>
      <c r="H1" s="150"/>
      <c r="I1" s="150"/>
      <c r="J1" s="150"/>
      <c r="K1" s="150"/>
      <c r="L1" s="150"/>
      <c r="M1" s="150"/>
      <c r="N1" s="150"/>
      <c r="O1" s="150"/>
      <c r="P1" s="150"/>
    </row>
    <row r="2" spans="1:16" ht="23.25" customHeight="1" thickBot="1" x14ac:dyDescent="0.3">
      <c r="A2" s="151"/>
      <c r="B2" s="151"/>
      <c r="C2" s="151"/>
      <c r="D2" s="151"/>
      <c r="E2" s="151"/>
      <c r="F2" s="151"/>
      <c r="G2" s="151"/>
      <c r="H2" s="151"/>
      <c r="I2" s="151"/>
      <c r="J2" s="151"/>
      <c r="K2" s="151"/>
      <c r="L2" s="151"/>
      <c r="M2" s="151"/>
      <c r="N2" s="151"/>
      <c r="O2" s="151"/>
      <c r="P2" s="151"/>
    </row>
    <row r="3" spans="1:16" x14ac:dyDescent="0.25">
      <c r="A3" s="2" t="s">
        <v>1</v>
      </c>
      <c r="B3" s="103" t="s">
        <v>283</v>
      </c>
      <c r="C3" s="103"/>
      <c r="D3" s="103"/>
      <c r="E3" s="103"/>
      <c r="F3" s="103"/>
      <c r="G3" s="103"/>
      <c r="H3" s="152"/>
      <c r="I3" s="101" t="s">
        <v>6</v>
      </c>
      <c r="J3" s="102"/>
      <c r="K3" s="153" t="s">
        <v>37</v>
      </c>
      <c r="L3" s="154"/>
      <c r="M3" s="101" t="s">
        <v>9</v>
      </c>
      <c r="N3" s="102"/>
      <c r="O3" s="102"/>
      <c r="P3" s="137"/>
    </row>
    <row r="4" spans="1:16" x14ac:dyDescent="0.25">
      <c r="A4" s="3" t="s">
        <v>2</v>
      </c>
      <c r="B4" s="119" t="s">
        <v>284</v>
      </c>
      <c r="C4" s="119"/>
      <c r="D4" s="119"/>
      <c r="E4" s="119"/>
      <c r="F4" s="119"/>
      <c r="G4" s="119"/>
      <c r="H4" s="141"/>
      <c r="I4" s="142" t="s">
        <v>7</v>
      </c>
      <c r="J4" s="143"/>
      <c r="K4" s="144">
        <v>21</v>
      </c>
      <c r="L4" s="145"/>
      <c r="M4" s="29" t="s">
        <v>10</v>
      </c>
      <c r="N4" s="30" t="s">
        <v>76</v>
      </c>
      <c r="O4" s="143" t="s">
        <v>11</v>
      </c>
      <c r="P4" s="146"/>
    </row>
    <row r="5" spans="1:16" ht="15.75" thickBot="1" x14ac:dyDescent="0.3">
      <c r="A5" s="4" t="s">
        <v>480</v>
      </c>
      <c r="B5" s="71" t="s">
        <v>535</v>
      </c>
      <c r="C5" s="5" t="s">
        <v>481</v>
      </c>
      <c r="D5" s="70" t="s">
        <v>536</v>
      </c>
      <c r="E5" s="74"/>
      <c r="F5" s="5" t="s">
        <v>12</v>
      </c>
      <c r="G5" s="147">
        <v>825743444</v>
      </c>
      <c r="H5" s="126"/>
      <c r="I5" s="107" t="s">
        <v>8</v>
      </c>
      <c r="J5" s="108"/>
      <c r="K5" s="148">
        <v>200</v>
      </c>
      <c r="L5" s="149"/>
      <c r="M5" s="32"/>
      <c r="N5" s="31"/>
      <c r="O5" s="148">
        <v>180</v>
      </c>
      <c r="P5" s="149"/>
    </row>
    <row r="6" spans="1:16" ht="15.75" thickBot="1" x14ac:dyDescent="0.3">
      <c r="A6" s="12"/>
      <c r="B6" s="12"/>
      <c r="C6" s="12"/>
      <c r="D6" s="12"/>
      <c r="E6" s="12"/>
      <c r="F6" s="12"/>
      <c r="G6" s="12"/>
      <c r="H6" s="12"/>
      <c r="I6" s="12"/>
      <c r="J6" s="12"/>
      <c r="K6" s="12"/>
      <c r="L6" s="12"/>
      <c r="M6" s="12"/>
      <c r="N6" s="12"/>
      <c r="O6" s="12"/>
      <c r="P6" s="12"/>
    </row>
    <row r="7" spans="1:16" ht="15.75" thickBot="1" x14ac:dyDescent="0.3">
      <c r="A7" s="138" t="s">
        <v>31</v>
      </c>
      <c r="B7" s="139"/>
      <c r="C7" s="131"/>
      <c r="D7" s="131"/>
      <c r="E7" s="131"/>
      <c r="F7" s="131"/>
      <c r="G7" s="139" t="s">
        <v>32</v>
      </c>
      <c r="H7" s="139"/>
      <c r="I7" s="140"/>
      <c r="J7" s="140"/>
      <c r="K7" s="140"/>
      <c r="L7" s="139" t="s">
        <v>33</v>
      </c>
      <c r="M7" s="139"/>
      <c r="N7" s="131"/>
      <c r="O7" s="131"/>
      <c r="P7" s="132"/>
    </row>
    <row r="8" spans="1:16" ht="15.75" thickBot="1" x14ac:dyDescent="0.3">
      <c r="A8" s="133"/>
      <c r="B8" s="133"/>
      <c r="C8" s="133"/>
      <c r="D8" s="133"/>
      <c r="E8" s="133"/>
      <c r="F8" s="133"/>
      <c r="G8" s="133"/>
      <c r="H8" s="133"/>
      <c r="I8" s="133"/>
      <c r="J8" s="133"/>
      <c r="K8" s="133"/>
      <c r="L8" s="133"/>
      <c r="M8" s="133"/>
      <c r="N8" s="133"/>
      <c r="O8" s="133"/>
      <c r="P8" s="133"/>
    </row>
    <row r="9" spans="1:16" ht="15.75" thickBot="1" x14ac:dyDescent="0.3">
      <c r="A9" s="111" t="s">
        <v>13</v>
      </c>
      <c r="B9" s="112"/>
      <c r="C9" s="112"/>
      <c r="D9" s="112"/>
      <c r="E9" s="112"/>
      <c r="F9" s="112"/>
      <c r="G9" s="112"/>
      <c r="H9" s="112"/>
      <c r="I9" s="112"/>
      <c r="J9" s="112"/>
      <c r="K9" s="112"/>
      <c r="L9" s="112"/>
      <c r="M9" s="112"/>
      <c r="N9" s="112"/>
      <c r="O9" s="112"/>
      <c r="P9" s="113"/>
    </row>
    <row r="10" spans="1:16" s="6" customFormat="1" x14ac:dyDescent="0.25">
      <c r="A10" s="134" t="s">
        <v>1</v>
      </c>
      <c r="B10" s="135"/>
      <c r="C10" s="135" t="s">
        <v>3</v>
      </c>
      <c r="D10" s="135"/>
      <c r="E10" s="135" t="s">
        <v>4</v>
      </c>
      <c r="F10" s="135"/>
      <c r="G10" s="104" t="s">
        <v>20</v>
      </c>
      <c r="H10" s="105"/>
      <c r="I10" s="104" t="s">
        <v>21</v>
      </c>
      <c r="J10" s="136"/>
      <c r="K10" s="102" t="s">
        <v>5</v>
      </c>
      <c r="L10" s="102"/>
      <c r="M10" s="102"/>
      <c r="N10" s="102"/>
      <c r="O10" s="102"/>
      <c r="P10" s="137"/>
    </row>
    <row r="11" spans="1:16" x14ac:dyDescent="0.25">
      <c r="A11" s="118" t="s">
        <v>285</v>
      </c>
      <c r="B11" s="119"/>
      <c r="C11" s="119" t="s">
        <v>286</v>
      </c>
      <c r="D11" s="119"/>
      <c r="E11" s="119" t="s">
        <v>287</v>
      </c>
      <c r="F11" s="119"/>
      <c r="G11" s="120">
        <v>145915569</v>
      </c>
      <c r="H11" s="121"/>
      <c r="I11" s="120"/>
      <c r="J11" s="122"/>
      <c r="K11" s="129" t="s">
        <v>288</v>
      </c>
      <c r="L11" s="129"/>
      <c r="M11" s="129"/>
      <c r="N11" s="129"/>
      <c r="O11" s="129"/>
      <c r="P11" s="130"/>
    </row>
    <row r="12" spans="1:16" x14ac:dyDescent="0.25">
      <c r="A12" s="118"/>
      <c r="B12" s="119"/>
      <c r="C12" s="119"/>
      <c r="D12" s="119"/>
      <c r="E12" s="119"/>
      <c r="F12" s="119"/>
      <c r="G12" s="120"/>
      <c r="H12" s="121"/>
      <c r="I12" s="120"/>
      <c r="J12" s="122"/>
      <c r="K12" s="123"/>
      <c r="L12" s="123"/>
      <c r="M12" s="123"/>
      <c r="N12" s="123"/>
      <c r="O12" s="123"/>
      <c r="P12" s="124"/>
    </row>
    <row r="13" spans="1:16" x14ac:dyDescent="0.25">
      <c r="A13" s="118"/>
      <c r="B13" s="119"/>
      <c r="C13" s="119"/>
      <c r="D13" s="119"/>
      <c r="E13" s="119"/>
      <c r="F13" s="119"/>
      <c r="G13" s="120"/>
      <c r="H13" s="121"/>
      <c r="I13" s="120"/>
      <c r="J13" s="122"/>
      <c r="K13" s="123"/>
      <c r="L13" s="123"/>
      <c r="M13" s="123"/>
      <c r="N13" s="123"/>
      <c r="O13" s="123"/>
      <c r="P13" s="124"/>
    </row>
    <row r="14" spans="1:16" x14ac:dyDescent="0.25">
      <c r="A14" s="118"/>
      <c r="B14" s="119"/>
      <c r="C14" s="119"/>
      <c r="D14" s="119"/>
      <c r="E14" s="119"/>
      <c r="F14" s="119"/>
      <c r="G14" s="120"/>
      <c r="H14" s="121"/>
      <c r="I14" s="120"/>
      <c r="J14" s="122"/>
      <c r="K14" s="123"/>
      <c r="L14" s="123"/>
      <c r="M14" s="123"/>
      <c r="N14" s="123"/>
      <c r="O14" s="123"/>
      <c r="P14" s="124"/>
    </row>
    <row r="15" spans="1:16" x14ac:dyDescent="0.25">
      <c r="A15" s="118"/>
      <c r="B15" s="119"/>
      <c r="C15" s="119"/>
      <c r="D15" s="119"/>
      <c r="E15" s="119"/>
      <c r="F15" s="119"/>
      <c r="G15" s="120"/>
      <c r="H15" s="121"/>
      <c r="I15" s="120"/>
      <c r="J15" s="122"/>
      <c r="K15" s="123"/>
      <c r="L15" s="123"/>
      <c r="M15" s="123"/>
      <c r="N15" s="123"/>
      <c r="O15" s="123"/>
      <c r="P15" s="124"/>
    </row>
    <row r="16" spans="1:16" ht="15.75" thickBot="1" x14ac:dyDescent="0.3">
      <c r="A16" s="125"/>
      <c r="B16" s="109"/>
      <c r="C16" s="109"/>
      <c r="D16" s="109"/>
      <c r="E16" s="109"/>
      <c r="F16" s="109"/>
      <c r="G16" s="126"/>
      <c r="H16" s="127"/>
      <c r="I16" s="126"/>
      <c r="J16" s="128"/>
      <c r="K16" s="116"/>
      <c r="L16" s="116"/>
      <c r="M16" s="116"/>
      <c r="N16" s="116"/>
      <c r="O16" s="116"/>
      <c r="P16" s="117"/>
    </row>
    <row r="17" spans="1:17" ht="15.75" thickBot="1" x14ac:dyDescent="0.3">
      <c r="A17" s="100"/>
      <c r="B17" s="100"/>
      <c r="C17" s="100"/>
      <c r="D17" s="100"/>
      <c r="E17" s="100"/>
      <c r="F17" s="100"/>
      <c r="G17" s="100"/>
      <c r="H17" s="100"/>
      <c r="I17" s="100"/>
      <c r="J17" s="100"/>
      <c r="K17" s="100"/>
      <c r="L17" s="100"/>
      <c r="M17" s="100"/>
      <c r="N17" s="100"/>
      <c r="O17" s="100"/>
      <c r="P17" s="100"/>
    </row>
    <row r="18" spans="1:17" x14ac:dyDescent="0.25">
      <c r="A18" s="101" t="s">
        <v>23</v>
      </c>
      <c r="B18" s="102"/>
      <c r="C18" s="102"/>
      <c r="D18" s="103"/>
      <c r="E18" s="103"/>
      <c r="F18" s="103"/>
      <c r="G18" s="103"/>
      <c r="H18" s="103"/>
      <c r="I18" s="103"/>
      <c r="J18" s="104" t="s">
        <v>25</v>
      </c>
      <c r="K18" s="105"/>
      <c r="L18" s="103"/>
      <c r="M18" s="103"/>
      <c r="N18" s="103"/>
      <c r="O18" s="103"/>
      <c r="P18" s="106"/>
    </row>
    <row r="19" spans="1:17" ht="15.75" thickBot="1" x14ac:dyDescent="0.3">
      <c r="A19" s="107" t="s">
        <v>24</v>
      </c>
      <c r="B19" s="108"/>
      <c r="C19" s="108"/>
      <c r="D19" s="109"/>
      <c r="E19" s="109"/>
      <c r="F19" s="109"/>
      <c r="G19" s="109"/>
      <c r="H19" s="109"/>
      <c r="I19" s="109"/>
      <c r="J19" s="108" t="s">
        <v>26</v>
      </c>
      <c r="K19" s="108"/>
      <c r="L19" s="109"/>
      <c r="M19" s="109"/>
      <c r="N19" s="109"/>
      <c r="O19" s="109"/>
      <c r="P19" s="110"/>
    </row>
    <row r="20" spans="1:17" ht="15.75" thickBot="1" x14ac:dyDescent="0.3">
      <c r="A20" s="100"/>
      <c r="B20" s="100"/>
      <c r="C20" s="100"/>
      <c r="D20" s="100"/>
      <c r="E20" s="100"/>
      <c r="F20" s="100"/>
      <c r="G20" s="100"/>
      <c r="H20" s="100"/>
      <c r="I20" s="100"/>
      <c r="J20" s="100"/>
      <c r="K20" s="100"/>
      <c r="L20" s="100"/>
      <c r="M20" s="100"/>
      <c r="N20" s="100"/>
      <c r="O20" s="100"/>
      <c r="P20" s="100"/>
    </row>
    <row r="21" spans="1:17" ht="15.75" thickBot="1" x14ac:dyDescent="0.3">
      <c r="A21" s="111" t="s">
        <v>27</v>
      </c>
      <c r="B21" s="112"/>
      <c r="C21" s="112" t="s">
        <v>28</v>
      </c>
      <c r="D21" s="112"/>
      <c r="E21" s="112"/>
      <c r="F21" s="112"/>
      <c r="G21" s="112"/>
      <c r="H21" s="112"/>
      <c r="I21" s="112"/>
      <c r="J21" s="112"/>
      <c r="K21" s="112"/>
      <c r="L21" s="112"/>
      <c r="M21" s="112"/>
      <c r="N21" s="112"/>
      <c r="O21" s="112"/>
      <c r="P21" s="113"/>
      <c r="Q21" s="7"/>
    </row>
    <row r="22" spans="1:17" ht="30" customHeight="1" x14ac:dyDescent="0.25">
      <c r="A22" s="114">
        <v>42128</v>
      </c>
      <c r="B22" s="115"/>
      <c r="C22" s="91" t="s">
        <v>289</v>
      </c>
      <c r="D22" s="91"/>
      <c r="E22" s="91"/>
      <c r="F22" s="91"/>
      <c r="G22" s="91"/>
      <c r="H22" s="91"/>
      <c r="I22" s="91"/>
      <c r="J22" s="91"/>
      <c r="K22" s="91"/>
      <c r="L22" s="91"/>
      <c r="M22" s="91"/>
      <c r="N22" s="91"/>
      <c r="O22" s="91"/>
      <c r="P22" s="92"/>
      <c r="Q22" s="7"/>
    </row>
    <row r="23" spans="1:17" ht="30" customHeight="1" x14ac:dyDescent="0.25">
      <c r="A23" s="89"/>
      <c r="B23" s="90"/>
      <c r="C23" s="97"/>
      <c r="D23" s="98"/>
      <c r="E23" s="98"/>
      <c r="F23" s="98"/>
      <c r="G23" s="98"/>
      <c r="H23" s="98"/>
      <c r="I23" s="98"/>
      <c r="J23" s="98"/>
      <c r="K23" s="98"/>
      <c r="L23" s="98"/>
      <c r="M23" s="98"/>
      <c r="N23" s="98"/>
      <c r="O23" s="98"/>
      <c r="P23" s="99"/>
      <c r="Q23" s="7"/>
    </row>
    <row r="24" spans="1:17" ht="30" customHeight="1" x14ac:dyDescent="0.25">
      <c r="A24" s="89"/>
      <c r="B24" s="90"/>
      <c r="C24" s="91"/>
      <c r="D24" s="91"/>
      <c r="E24" s="91"/>
      <c r="F24" s="91"/>
      <c r="G24" s="91"/>
      <c r="H24" s="91"/>
      <c r="I24" s="91"/>
      <c r="J24" s="91"/>
      <c r="K24" s="91"/>
      <c r="L24" s="91"/>
      <c r="M24" s="91"/>
      <c r="N24" s="91"/>
      <c r="O24" s="91"/>
      <c r="P24" s="92"/>
      <c r="Q24" s="7"/>
    </row>
    <row r="25" spans="1:17" ht="30" customHeight="1" x14ac:dyDescent="0.25">
      <c r="A25" s="89"/>
      <c r="B25" s="90"/>
      <c r="C25" s="91"/>
      <c r="D25" s="91"/>
      <c r="E25" s="91"/>
      <c r="F25" s="91"/>
      <c r="G25" s="91"/>
      <c r="H25" s="91"/>
      <c r="I25" s="91"/>
      <c r="J25" s="91"/>
      <c r="K25" s="91"/>
      <c r="L25" s="91"/>
      <c r="M25" s="91"/>
      <c r="N25" s="91"/>
      <c r="O25" s="91"/>
      <c r="P25" s="92"/>
    </row>
    <row r="26" spans="1:17" ht="30" customHeight="1" thickBot="1" x14ac:dyDescent="0.3">
      <c r="A26" s="93"/>
      <c r="B26" s="94"/>
      <c r="C26" s="95"/>
      <c r="D26" s="95"/>
      <c r="E26" s="95"/>
      <c r="F26" s="95"/>
      <c r="G26" s="95"/>
      <c r="H26" s="95"/>
      <c r="I26" s="95"/>
      <c r="J26" s="95"/>
      <c r="K26" s="95"/>
      <c r="L26" s="95"/>
      <c r="M26" s="95"/>
      <c r="N26" s="95"/>
      <c r="O26" s="95"/>
      <c r="P26" s="96"/>
    </row>
  </sheetData>
  <mergeCells count="86">
    <mergeCell ref="A24:B24"/>
    <mergeCell ref="C24:P24"/>
    <mergeCell ref="A25:B25"/>
    <mergeCell ref="C25:P25"/>
    <mergeCell ref="A26:B26"/>
    <mergeCell ref="C26:P26"/>
    <mergeCell ref="A23:B23"/>
    <mergeCell ref="C23:P23"/>
    <mergeCell ref="A17:P17"/>
    <mergeCell ref="A18:C18"/>
    <mergeCell ref="D18:I18"/>
    <mergeCell ref="J18:K18"/>
    <mergeCell ref="L18:P18"/>
    <mergeCell ref="A19:C19"/>
    <mergeCell ref="D19:I19"/>
    <mergeCell ref="J19:K19"/>
    <mergeCell ref="L19:P19"/>
    <mergeCell ref="A20:P20"/>
    <mergeCell ref="A21:B21"/>
    <mergeCell ref="C21:P21"/>
    <mergeCell ref="A22:B22"/>
    <mergeCell ref="C22:P22"/>
    <mergeCell ref="K16:P16"/>
    <mergeCell ref="A15:B15"/>
    <mergeCell ref="C15:D15"/>
    <mergeCell ref="E15:F15"/>
    <mergeCell ref="G15:H15"/>
    <mergeCell ref="I15:J15"/>
    <mergeCell ref="K15:P15"/>
    <mergeCell ref="A16:B16"/>
    <mergeCell ref="C16:D16"/>
    <mergeCell ref="E16:F16"/>
    <mergeCell ref="G16:H16"/>
    <mergeCell ref="I16:J16"/>
    <mergeCell ref="K14:P14"/>
    <mergeCell ref="A13:B13"/>
    <mergeCell ref="C13:D13"/>
    <mergeCell ref="E13:F13"/>
    <mergeCell ref="G13:H13"/>
    <mergeCell ref="I13:J13"/>
    <mergeCell ref="K13:P13"/>
    <mergeCell ref="A14:B14"/>
    <mergeCell ref="C14:D14"/>
    <mergeCell ref="E14:F14"/>
    <mergeCell ref="G14:H14"/>
    <mergeCell ref="I14:J14"/>
    <mergeCell ref="K12:P12"/>
    <mergeCell ref="A11:B11"/>
    <mergeCell ref="C11:D11"/>
    <mergeCell ref="E11:F11"/>
    <mergeCell ref="G11:H11"/>
    <mergeCell ref="I11:J11"/>
    <mergeCell ref="K11:P11"/>
    <mergeCell ref="A12:B12"/>
    <mergeCell ref="C12:D12"/>
    <mergeCell ref="E12:F12"/>
    <mergeCell ref="G12:H12"/>
    <mergeCell ref="I12:J12"/>
    <mergeCell ref="A8:P8"/>
    <mergeCell ref="A9:P9"/>
    <mergeCell ref="A10:B10"/>
    <mergeCell ref="C10:D10"/>
    <mergeCell ref="E10:F10"/>
    <mergeCell ref="G10:H10"/>
    <mergeCell ref="I10:J10"/>
    <mergeCell ref="K10:P10"/>
    <mergeCell ref="N7:P7"/>
    <mergeCell ref="B4:H4"/>
    <mergeCell ref="I4:J4"/>
    <mergeCell ref="K4:L4"/>
    <mergeCell ref="O4:P4"/>
    <mergeCell ref="G5:H5"/>
    <mergeCell ref="I5:J5"/>
    <mergeCell ref="K5:L5"/>
    <mergeCell ref="O5:P5"/>
    <mergeCell ref="A7:B7"/>
    <mergeCell ref="C7:F7"/>
    <mergeCell ref="G7:H7"/>
    <mergeCell ref="I7:K7"/>
    <mergeCell ref="L7:M7"/>
    <mergeCell ref="A1:P1"/>
    <mergeCell ref="A2:P2"/>
    <mergeCell ref="B3:H3"/>
    <mergeCell ref="I3:J3"/>
    <mergeCell ref="K3:L3"/>
    <mergeCell ref="M3:P3"/>
  </mergeCells>
  <hyperlinks>
    <hyperlink ref="K11" r:id="rId1"/>
  </hyperlinks>
  <pageMargins left="0.25" right="0.25" top="0.75" bottom="0.75" header="0.3" footer="0.3"/>
  <pageSetup paperSize="9" orientation="landscape" horizontalDpi="0" verticalDpi="0"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1"/>
  <dimension ref="A1:Q26"/>
  <sheetViews>
    <sheetView tabSelected="1" zoomScale="115" zoomScaleNormal="115" workbookViewId="0">
      <selection activeCell="M5" sqref="M5:N5"/>
    </sheetView>
  </sheetViews>
  <sheetFormatPr baseColWidth="10" defaultColWidth="9.140625" defaultRowHeight="15" x14ac:dyDescent="0.25"/>
  <cols>
    <col min="1" max="16" width="8.7109375" style="1" customWidth="1"/>
    <col min="17" max="16384" width="9.140625" style="1"/>
  </cols>
  <sheetData>
    <row r="1" spans="1:16" ht="28.5" x14ac:dyDescent="0.25">
      <c r="A1" s="150" t="s">
        <v>290</v>
      </c>
      <c r="B1" s="150"/>
      <c r="C1" s="150"/>
      <c r="D1" s="150"/>
      <c r="E1" s="150"/>
      <c r="F1" s="150"/>
      <c r="G1" s="150"/>
      <c r="H1" s="150"/>
      <c r="I1" s="150"/>
      <c r="J1" s="150"/>
      <c r="K1" s="150"/>
      <c r="L1" s="150"/>
      <c r="M1" s="150"/>
      <c r="N1" s="150"/>
      <c r="O1" s="150"/>
      <c r="P1" s="150"/>
    </row>
    <row r="2" spans="1:16" ht="23.25" customHeight="1" thickBot="1" x14ac:dyDescent="0.3">
      <c r="A2" s="151"/>
      <c r="B2" s="151"/>
      <c r="C2" s="151"/>
      <c r="D2" s="151"/>
      <c r="E2" s="151"/>
      <c r="F2" s="151"/>
      <c r="G2" s="151"/>
      <c r="H2" s="151"/>
      <c r="I2" s="151"/>
      <c r="J2" s="151"/>
      <c r="K2" s="151"/>
      <c r="L2" s="151"/>
      <c r="M2" s="151"/>
      <c r="N2" s="151"/>
      <c r="O2" s="151"/>
      <c r="P2" s="151"/>
    </row>
    <row r="3" spans="1:16" x14ac:dyDescent="0.25">
      <c r="A3" s="2" t="s">
        <v>1</v>
      </c>
      <c r="B3" s="103" t="s">
        <v>291</v>
      </c>
      <c r="C3" s="103"/>
      <c r="D3" s="103"/>
      <c r="E3" s="103"/>
      <c r="F3" s="103"/>
      <c r="G3" s="103"/>
      <c r="H3" s="152"/>
      <c r="I3" s="101" t="s">
        <v>6</v>
      </c>
      <c r="J3" s="102"/>
      <c r="K3" s="153">
        <v>3</v>
      </c>
      <c r="L3" s="154"/>
      <c r="M3" s="101" t="s">
        <v>9</v>
      </c>
      <c r="N3" s="102"/>
      <c r="O3" s="102"/>
      <c r="P3" s="137"/>
    </row>
    <row r="4" spans="1:16" x14ac:dyDescent="0.25">
      <c r="A4" s="3" t="s">
        <v>2</v>
      </c>
      <c r="B4" s="119" t="s">
        <v>292</v>
      </c>
      <c r="C4" s="119"/>
      <c r="D4" s="119"/>
      <c r="E4" s="119"/>
      <c r="F4" s="119"/>
      <c r="G4" s="119"/>
      <c r="H4" s="141"/>
      <c r="I4" s="142" t="s">
        <v>7</v>
      </c>
      <c r="J4" s="143"/>
      <c r="K4" s="144">
        <v>29</v>
      </c>
      <c r="L4" s="145"/>
      <c r="M4" s="29" t="s">
        <v>10</v>
      </c>
      <c r="N4" s="30" t="s">
        <v>76</v>
      </c>
      <c r="O4" s="143" t="s">
        <v>11</v>
      </c>
      <c r="P4" s="146"/>
    </row>
    <row r="5" spans="1:16" ht="15.75" thickBot="1" x14ac:dyDescent="0.3">
      <c r="A5" s="4" t="s">
        <v>480</v>
      </c>
      <c r="B5" s="71" t="s">
        <v>537</v>
      </c>
      <c r="C5" s="5" t="s">
        <v>481</v>
      </c>
      <c r="D5" s="70" t="s">
        <v>538</v>
      </c>
      <c r="E5" s="74"/>
      <c r="F5" s="5" t="s">
        <v>12</v>
      </c>
      <c r="G5" s="147">
        <v>232734145</v>
      </c>
      <c r="H5" s="126"/>
      <c r="I5" s="107" t="s">
        <v>8</v>
      </c>
      <c r="J5" s="108"/>
      <c r="K5" s="148">
        <v>700</v>
      </c>
      <c r="L5" s="149"/>
      <c r="M5" s="32">
        <v>350</v>
      </c>
      <c r="N5" s="31"/>
      <c r="O5" s="148">
        <v>500</v>
      </c>
      <c r="P5" s="149"/>
    </row>
    <row r="6" spans="1:16" ht="15.75" thickBot="1" x14ac:dyDescent="0.3">
      <c r="A6" s="159"/>
      <c r="B6" s="159"/>
      <c r="C6" s="159"/>
      <c r="D6" s="159"/>
      <c r="E6" s="159"/>
      <c r="F6" s="159"/>
      <c r="G6" s="159"/>
      <c r="H6" s="159"/>
      <c r="I6" s="159"/>
      <c r="J6" s="159"/>
      <c r="K6" s="159"/>
      <c r="L6" s="159"/>
      <c r="M6" s="159"/>
      <c r="N6" s="159"/>
      <c r="O6" s="159"/>
      <c r="P6" s="159"/>
    </row>
    <row r="7" spans="1:16" ht="15.75" thickBot="1" x14ac:dyDescent="0.3">
      <c r="A7" s="138" t="s">
        <v>31</v>
      </c>
      <c r="B7" s="139"/>
      <c r="C7" s="131"/>
      <c r="D7" s="131"/>
      <c r="E7" s="131"/>
      <c r="F7" s="131"/>
      <c r="G7" s="139" t="s">
        <v>32</v>
      </c>
      <c r="H7" s="139"/>
      <c r="I7" s="140"/>
      <c r="J7" s="140"/>
      <c r="K7" s="140"/>
      <c r="L7" s="139" t="s">
        <v>33</v>
      </c>
      <c r="M7" s="139"/>
      <c r="N7" s="131"/>
      <c r="O7" s="131"/>
      <c r="P7" s="132"/>
    </row>
    <row r="8" spans="1:16" ht="15.75" thickBot="1" x14ac:dyDescent="0.3">
      <c r="A8" s="133"/>
      <c r="B8" s="133"/>
      <c r="C8" s="133"/>
      <c r="D8" s="133"/>
      <c r="E8" s="133"/>
      <c r="F8" s="133"/>
      <c r="G8" s="133"/>
      <c r="H8" s="133"/>
      <c r="I8" s="133"/>
      <c r="J8" s="133"/>
      <c r="K8" s="133"/>
      <c r="L8" s="133"/>
      <c r="M8" s="133"/>
      <c r="N8" s="133"/>
      <c r="O8" s="133"/>
      <c r="P8" s="133"/>
    </row>
    <row r="9" spans="1:16" ht="15.75" thickBot="1" x14ac:dyDescent="0.3">
      <c r="A9" s="111" t="s">
        <v>13</v>
      </c>
      <c r="B9" s="112"/>
      <c r="C9" s="112"/>
      <c r="D9" s="112"/>
      <c r="E9" s="112"/>
      <c r="F9" s="112"/>
      <c r="G9" s="112"/>
      <c r="H9" s="112"/>
      <c r="I9" s="112"/>
      <c r="J9" s="112"/>
      <c r="K9" s="112"/>
      <c r="L9" s="112"/>
      <c r="M9" s="112"/>
      <c r="N9" s="112"/>
      <c r="O9" s="112"/>
      <c r="P9" s="113"/>
    </row>
    <row r="10" spans="1:16" s="6" customFormat="1" x14ac:dyDescent="0.25">
      <c r="A10" s="134" t="s">
        <v>1</v>
      </c>
      <c r="B10" s="135"/>
      <c r="C10" s="135" t="s">
        <v>3</v>
      </c>
      <c r="D10" s="135"/>
      <c r="E10" s="135" t="s">
        <v>4</v>
      </c>
      <c r="F10" s="135"/>
      <c r="G10" s="104" t="s">
        <v>20</v>
      </c>
      <c r="H10" s="105"/>
      <c r="I10" s="104" t="s">
        <v>21</v>
      </c>
      <c r="J10" s="136"/>
      <c r="K10" s="102" t="s">
        <v>5</v>
      </c>
      <c r="L10" s="102"/>
      <c r="M10" s="102"/>
      <c r="N10" s="102"/>
      <c r="O10" s="102"/>
      <c r="P10" s="137"/>
    </row>
    <row r="11" spans="1:16" x14ac:dyDescent="0.25">
      <c r="A11" s="118" t="s">
        <v>293</v>
      </c>
      <c r="B11" s="119"/>
      <c r="C11" s="119" t="s">
        <v>294</v>
      </c>
      <c r="D11" s="119"/>
      <c r="E11" s="119" t="s">
        <v>297</v>
      </c>
      <c r="F11" s="119"/>
      <c r="G11" s="120"/>
      <c r="H11" s="121"/>
      <c r="I11" s="120"/>
      <c r="J11" s="122"/>
      <c r="K11" s="129" t="s">
        <v>295</v>
      </c>
      <c r="L11" s="129"/>
      <c r="M11" s="129"/>
      <c r="N11" s="129"/>
      <c r="O11" s="129"/>
      <c r="P11" s="130"/>
    </row>
    <row r="12" spans="1:16" x14ac:dyDescent="0.25">
      <c r="A12" s="118" t="s">
        <v>340</v>
      </c>
      <c r="B12" s="119"/>
      <c r="C12" s="119" t="s">
        <v>296</v>
      </c>
      <c r="D12" s="119"/>
      <c r="E12" s="119" t="s">
        <v>121</v>
      </c>
      <c r="F12" s="119"/>
      <c r="G12" s="120"/>
      <c r="H12" s="121"/>
      <c r="I12" s="120"/>
      <c r="J12" s="122"/>
      <c r="K12" s="158" t="s">
        <v>298</v>
      </c>
      <c r="L12" s="123"/>
      <c r="M12" s="123"/>
      <c r="N12" s="123"/>
      <c r="O12" s="123"/>
      <c r="P12" s="124"/>
    </row>
    <row r="13" spans="1:16" x14ac:dyDescent="0.25">
      <c r="A13" s="118" t="s">
        <v>64</v>
      </c>
      <c r="B13" s="119"/>
      <c r="C13" s="119"/>
      <c r="D13" s="119"/>
      <c r="E13" s="119"/>
      <c r="F13" s="119"/>
      <c r="G13" s="120"/>
      <c r="H13" s="121"/>
      <c r="I13" s="120"/>
      <c r="J13" s="122"/>
      <c r="K13" s="123"/>
      <c r="L13" s="123"/>
      <c r="M13" s="123"/>
      <c r="N13" s="123"/>
      <c r="O13" s="123"/>
      <c r="P13" s="124"/>
    </row>
    <row r="14" spans="1:16" x14ac:dyDescent="0.25">
      <c r="A14" s="118"/>
      <c r="B14" s="119"/>
      <c r="C14" s="119"/>
      <c r="D14" s="119"/>
      <c r="E14" s="119"/>
      <c r="F14" s="119"/>
      <c r="G14" s="120"/>
      <c r="H14" s="121"/>
      <c r="I14" s="120"/>
      <c r="J14" s="122"/>
      <c r="K14" s="123"/>
      <c r="L14" s="123"/>
      <c r="M14" s="123"/>
      <c r="N14" s="123"/>
      <c r="O14" s="123"/>
      <c r="P14" s="124"/>
    </row>
    <row r="15" spans="1:16" x14ac:dyDescent="0.25">
      <c r="A15" s="118"/>
      <c r="B15" s="119"/>
      <c r="C15" s="119"/>
      <c r="D15" s="119"/>
      <c r="E15" s="119"/>
      <c r="F15" s="119"/>
      <c r="G15" s="120"/>
      <c r="H15" s="121"/>
      <c r="I15" s="120"/>
      <c r="J15" s="122"/>
      <c r="K15" s="123"/>
      <c r="L15" s="123"/>
      <c r="M15" s="123"/>
      <c r="N15" s="123"/>
      <c r="O15" s="123"/>
      <c r="P15" s="124"/>
    </row>
    <row r="16" spans="1:16" ht="15.75" thickBot="1" x14ac:dyDescent="0.3">
      <c r="A16" s="125"/>
      <c r="B16" s="109"/>
      <c r="C16" s="109"/>
      <c r="D16" s="109"/>
      <c r="E16" s="109"/>
      <c r="F16" s="109"/>
      <c r="G16" s="126"/>
      <c r="H16" s="127"/>
      <c r="I16" s="126"/>
      <c r="J16" s="128"/>
      <c r="K16" s="116"/>
      <c r="L16" s="116"/>
      <c r="M16" s="116"/>
      <c r="N16" s="116"/>
      <c r="O16" s="116"/>
      <c r="P16" s="117"/>
    </row>
    <row r="17" spans="1:17" ht="15.75" thickBot="1" x14ac:dyDescent="0.3">
      <c r="A17" s="100"/>
      <c r="B17" s="100"/>
      <c r="C17" s="100"/>
      <c r="D17" s="100"/>
      <c r="E17" s="100"/>
      <c r="F17" s="100"/>
      <c r="G17" s="100"/>
      <c r="H17" s="100"/>
      <c r="I17" s="100"/>
      <c r="J17" s="100"/>
      <c r="K17" s="100"/>
      <c r="L17" s="100"/>
      <c r="M17" s="100"/>
      <c r="N17" s="100"/>
      <c r="O17" s="100"/>
      <c r="P17" s="100"/>
    </row>
    <row r="18" spans="1:17" x14ac:dyDescent="0.25">
      <c r="A18" s="101" t="s">
        <v>23</v>
      </c>
      <c r="B18" s="102"/>
      <c r="C18" s="102"/>
      <c r="D18" s="103"/>
      <c r="E18" s="103"/>
      <c r="F18" s="103"/>
      <c r="G18" s="103"/>
      <c r="H18" s="103"/>
      <c r="I18" s="103"/>
      <c r="J18" s="104" t="s">
        <v>25</v>
      </c>
      <c r="K18" s="105"/>
      <c r="L18" s="103"/>
      <c r="M18" s="103"/>
      <c r="N18" s="103"/>
      <c r="O18" s="103"/>
      <c r="P18" s="106"/>
    </row>
    <row r="19" spans="1:17" ht="15.75" thickBot="1" x14ac:dyDescent="0.3">
      <c r="A19" s="107" t="s">
        <v>24</v>
      </c>
      <c r="B19" s="108"/>
      <c r="C19" s="108"/>
      <c r="D19" s="109"/>
      <c r="E19" s="109"/>
      <c r="F19" s="109"/>
      <c r="G19" s="109"/>
      <c r="H19" s="109"/>
      <c r="I19" s="109"/>
      <c r="J19" s="108" t="s">
        <v>26</v>
      </c>
      <c r="K19" s="108"/>
      <c r="L19" s="109"/>
      <c r="M19" s="109"/>
      <c r="N19" s="109"/>
      <c r="O19" s="109"/>
      <c r="P19" s="110"/>
    </row>
    <row r="20" spans="1:17" ht="15.75" thickBot="1" x14ac:dyDescent="0.3">
      <c r="A20" s="100"/>
      <c r="B20" s="100"/>
      <c r="C20" s="100"/>
      <c r="D20" s="100"/>
      <c r="E20" s="100"/>
      <c r="F20" s="100"/>
      <c r="G20" s="100"/>
      <c r="H20" s="100"/>
      <c r="I20" s="100"/>
      <c r="J20" s="100"/>
      <c r="K20" s="100"/>
      <c r="L20" s="100"/>
      <c r="M20" s="100"/>
      <c r="N20" s="100"/>
      <c r="O20" s="100"/>
      <c r="P20" s="100"/>
    </row>
    <row r="21" spans="1:17" ht="15.75" thickBot="1" x14ac:dyDescent="0.3">
      <c r="A21" s="111" t="s">
        <v>27</v>
      </c>
      <c r="B21" s="112"/>
      <c r="C21" s="112" t="s">
        <v>28</v>
      </c>
      <c r="D21" s="112"/>
      <c r="E21" s="112"/>
      <c r="F21" s="112"/>
      <c r="G21" s="112"/>
      <c r="H21" s="112"/>
      <c r="I21" s="112"/>
      <c r="J21" s="112"/>
      <c r="K21" s="112"/>
      <c r="L21" s="112"/>
      <c r="M21" s="112"/>
      <c r="N21" s="112"/>
      <c r="O21" s="112"/>
      <c r="P21" s="113"/>
      <c r="Q21" s="7"/>
    </row>
    <row r="22" spans="1:17" ht="30" customHeight="1" x14ac:dyDescent="0.25">
      <c r="A22" s="114">
        <v>42128</v>
      </c>
      <c r="B22" s="115"/>
      <c r="C22" s="91" t="s">
        <v>299</v>
      </c>
      <c r="D22" s="91"/>
      <c r="E22" s="91"/>
      <c r="F22" s="91"/>
      <c r="G22" s="91"/>
      <c r="H22" s="91"/>
      <c r="I22" s="91"/>
      <c r="J22" s="91"/>
      <c r="K22" s="91"/>
      <c r="L22" s="91"/>
      <c r="M22" s="91"/>
      <c r="N22" s="91"/>
      <c r="O22" s="91"/>
      <c r="P22" s="92"/>
      <c r="Q22" s="7"/>
    </row>
    <row r="23" spans="1:17" ht="30" customHeight="1" x14ac:dyDescent="0.25">
      <c r="A23" s="89"/>
      <c r="B23" s="90"/>
      <c r="C23" s="97"/>
      <c r="D23" s="98"/>
      <c r="E23" s="98"/>
      <c r="F23" s="98"/>
      <c r="G23" s="98"/>
      <c r="H23" s="98"/>
      <c r="I23" s="98"/>
      <c r="J23" s="98"/>
      <c r="K23" s="98"/>
      <c r="L23" s="98"/>
      <c r="M23" s="98"/>
      <c r="N23" s="98"/>
      <c r="O23" s="98"/>
      <c r="P23" s="99"/>
      <c r="Q23" s="7"/>
    </row>
    <row r="24" spans="1:17" ht="30" customHeight="1" x14ac:dyDescent="0.25">
      <c r="A24" s="89"/>
      <c r="B24" s="90"/>
      <c r="C24" s="91"/>
      <c r="D24" s="91"/>
      <c r="E24" s="91"/>
      <c r="F24" s="91"/>
      <c r="G24" s="91"/>
      <c r="H24" s="91"/>
      <c r="I24" s="91"/>
      <c r="J24" s="91"/>
      <c r="K24" s="91"/>
      <c r="L24" s="91"/>
      <c r="M24" s="91"/>
      <c r="N24" s="91"/>
      <c r="O24" s="91"/>
      <c r="P24" s="92"/>
      <c r="Q24" s="7"/>
    </row>
    <row r="25" spans="1:17" ht="30" customHeight="1" x14ac:dyDescent="0.25">
      <c r="A25" s="89"/>
      <c r="B25" s="90"/>
      <c r="C25" s="91"/>
      <c r="D25" s="91"/>
      <c r="E25" s="91"/>
      <c r="F25" s="91"/>
      <c r="G25" s="91"/>
      <c r="H25" s="91"/>
      <c r="I25" s="91"/>
      <c r="J25" s="91"/>
      <c r="K25" s="91"/>
      <c r="L25" s="91"/>
      <c r="M25" s="91"/>
      <c r="N25" s="91"/>
      <c r="O25" s="91"/>
      <c r="P25" s="92"/>
    </row>
    <row r="26" spans="1:17" ht="30" customHeight="1" thickBot="1" x14ac:dyDescent="0.3">
      <c r="A26" s="93"/>
      <c r="B26" s="94"/>
      <c r="C26" s="95"/>
      <c r="D26" s="95"/>
      <c r="E26" s="95"/>
      <c r="F26" s="95"/>
      <c r="G26" s="95"/>
      <c r="H26" s="95"/>
      <c r="I26" s="95"/>
      <c r="J26" s="95"/>
      <c r="K26" s="95"/>
      <c r="L26" s="95"/>
      <c r="M26" s="95"/>
      <c r="N26" s="95"/>
      <c r="O26" s="95"/>
      <c r="P26" s="96"/>
    </row>
  </sheetData>
  <mergeCells count="87">
    <mergeCell ref="A24:B24"/>
    <mergeCell ref="C24:P24"/>
    <mergeCell ref="A25:B25"/>
    <mergeCell ref="C25:P25"/>
    <mergeCell ref="A26:B26"/>
    <mergeCell ref="C26:P26"/>
    <mergeCell ref="A23:B23"/>
    <mergeCell ref="C23:P23"/>
    <mergeCell ref="A17:P17"/>
    <mergeCell ref="A18:C18"/>
    <mergeCell ref="D18:I18"/>
    <mergeCell ref="J18:K18"/>
    <mergeCell ref="L18:P18"/>
    <mergeCell ref="A19:C19"/>
    <mergeCell ref="D19:I19"/>
    <mergeCell ref="J19:K19"/>
    <mergeCell ref="L19:P19"/>
    <mergeCell ref="A20:P20"/>
    <mergeCell ref="A21:B21"/>
    <mergeCell ref="C21:P21"/>
    <mergeCell ref="A22:B22"/>
    <mergeCell ref="C22:P22"/>
    <mergeCell ref="K16:P16"/>
    <mergeCell ref="A15:B15"/>
    <mergeCell ref="C15:D15"/>
    <mergeCell ref="E15:F15"/>
    <mergeCell ref="G15:H15"/>
    <mergeCell ref="I15:J15"/>
    <mergeCell ref="K15:P15"/>
    <mergeCell ref="A16:B16"/>
    <mergeCell ref="C16:D16"/>
    <mergeCell ref="E16:F16"/>
    <mergeCell ref="G16:H16"/>
    <mergeCell ref="I16:J16"/>
    <mergeCell ref="K14:P14"/>
    <mergeCell ref="A13:B13"/>
    <mergeCell ref="C13:D13"/>
    <mergeCell ref="E13:F13"/>
    <mergeCell ref="G13:H13"/>
    <mergeCell ref="I13:J13"/>
    <mergeCell ref="K13:P13"/>
    <mergeCell ref="A14:B14"/>
    <mergeCell ref="C14:D14"/>
    <mergeCell ref="E14:F14"/>
    <mergeCell ref="G14:H14"/>
    <mergeCell ref="I14:J14"/>
    <mergeCell ref="K12:P12"/>
    <mergeCell ref="A11:B11"/>
    <mergeCell ref="C11:D11"/>
    <mergeCell ref="E11:F11"/>
    <mergeCell ref="G11:H11"/>
    <mergeCell ref="I11:J11"/>
    <mergeCell ref="K11:P11"/>
    <mergeCell ref="A12:B12"/>
    <mergeCell ref="C12:D12"/>
    <mergeCell ref="E12:F12"/>
    <mergeCell ref="G12:H12"/>
    <mergeCell ref="I12:J12"/>
    <mergeCell ref="A8:P8"/>
    <mergeCell ref="A9:P9"/>
    <mergeCell ref="A10:B10"/>
    <mergeCell ref="C10:D10"/>
    <mergeCell ref="E10:F10"/>
    <mergeCell ref="G10:H10"/>
    <mergeCell ref="I10:J10"/>
    <mergeCell ref="K10:P10"/>
    <mergeCell ref="N7:P7"/>
    <mergeCell ref="B4:H4"/>
    <mergeCell ref="I4:J4"/>
    <mergeCell ref="K4:L4"/>
    <mergeCell ref="O4:P4"/>
    <mergeCell ref="G5:H5"/>
    <mergeCell ref="I5:J5"/>
    <mergeCell ref="K5:L5"/>
    <mergeCell ref="O5:P5"/>
    <mergeCell ref="A7:B7"/>
    <mergeCell ref="C7:F7"/>
    <mergeCell ref="G7:H7"/>
    <mergeCell ref="I7:K7"/>
    <mergeCell ref="L7:M7"/>
    <mergeCell ref="A6:P6"/>
    <mergeCell ref="A1:P1"/>
    <mergeCell ref="A2:P2"/>
    <mergeCell ref="B3:H3"/>
    <mergeCell ref="I3:J3"/>
    <mergeCell ref="K3:L3"/>
    <mergeCell ref="M3:P3"/>
  </mergeCells>
  <hyperlinks>
    <hyperlink ref="K11" r:id="rId1"/>
    <hyperlink ref="K12" r:id="rId2"/>
  </hyperlinks>
  <pageMargins left="0.25" right="0.25" top="0.75" bottom="0.75" header="0.3" footer="0.3"/>
  <pageSetup paperSize="9" orientation="landscape" horizontalDpi="0" verticalDpi="0" r:id="rId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2"/>
  <dimension ref="A1:Q26"/>
  <sheetViews>
    <sheetView tabSelected="1" zoomScale="115" zoomScaleNormal="115" workbookViewId="0">
      <selection activeCell="M5" sqref="M5:N5"/>
    </sheetView>
  </sheetViews>
  <sheetFormatPr baseColWidth="10" defaultColWidth="9.140625" defaultRowHeight="15" x14ac:dyDescent="0.25"/>
  <cols>
    <col min="1" max="16" width="8.7109375" style="1" customWidth="1"/>
    <col min="17" max="16384" width="9.140625" style="1"/>
  </cols>
  <sheetData>
    <row r="1" spans="1:16" ht="28.5" x14ac:dyDescent="0.25">
      <c r="A1" s="150" t="s">
        <v>300</v>
      </c>
      <c r="B1" s="150"/>
      <c r="C1" s="150"/>
      <c r="D1" s="150"/>
      <c r="E1" s="150"/>
      <c r="F1" s="150"/>
      <c r="G1" s="150"/>
      <c r="H1" s="150"/>
      <c r="I1" s="150"/>
      <c r="J1" s="150"/>
      <c r="K1" s="150"/>
      <c r="L1" s="150"/>
      <c r="M1" s="150"/>
      <c r="N1" s="150"/>
      <c r="O1" s="150"/>
      <c r="P1" s="150"/>
    </row>
    <row r="2" spans="1:16" ht="23.25" customHeight="1" thickBot="1" x14ac:dyDescent="0.3">
      <c r="A2" s="151"/>
      <c r="B2" s="151"/>
      <c r="C2" s="151"/>
      <c r="D2" s="151"/>
      <c r="E2" s="151"/>
      <c r="F2" s="151"/>
      <c r="G2" s="151"/>
      <c r="H2" s="151"/>
      <c r="I2" s="151"/>
      <c r="J2" s="151"/>
      <c r="K2" s="151"/>
      <c r="L2" s="151"/>
      <c r="M2" s="151"/>
      <c r="N2" s="151"/>
      <c r="O2" s="151"/>
      <c r="P2" s="151"/>
    </row>
    <row r="3" spans="1:16" x14ac:dyDescent="0.25">
      <c r="A3" s="2" t="s">
        <v>1</v>
      </c>
      <c r="B3" s="103" t="s">
        <v>301</v>
      </c>
      <c r="C3" s="103"/>
      <c r="D3" s="103"/>
      <c r="E3" s="103"/>
      <c r="F3" s="103"/>
      <c r="G3" s="103"/>
      <c r="H3" s="152"/>
      <c r="I3" s="101" t="s">
        <v>6</v>
      </c>
      <c r="J3" s="102"/>
      <c r="K3" s="153">
        <v>3</v>
      </c>
      <c r="L3" s="154"/>
      <c r="M3" s="101" t="s">
        <v>9</v>
      </c>
      <c r="N3" s="102"/>
      <c r="O3" s="102"/>
      <c r="P3" s="137"/>
    </row>
    <row r="4" spans="1:16" x14ac:dyDescent="0.25">
      <c r="A4" s="3" t="s">
        <v>2</v>
      </c>
      <c r="B4" s="119" t="s">
        <v>302</v>
      </c>
      <c r="C4" s="119"/>
      <c r="D4" s="119"/>
      <c r="E4" s="119"/>
      <c r="F4" s="119"/>
      <c r="G4" s="119"/>
      <c r="H4" s="141"/>
      <c r="I4" s="142" t="s">
        <v>7</v>
      </c>
      <c r="J4" s="143"/>
      <c r="K4" s="144">
        <v>30</v>
      </c>
      <c r="L4" s="145"/>
      <c r="M4" s="29" t="s">
        <v>10</v>
      </c>
      <c r="N4" s="30" t="s">
        <v>76</v>
      </c>
      <c r="O4" s="143" t="s">
        <v>11</v>
      </c>
      <c r="P4" s="146"/>
    </row>
    <row r="5" spans="1:16" ht="15.75" thickBot="1" x14ac:dyDescent="0.3">
      <c r="A5" s="4" t="s">
        <v>480</v>
      </c>
      <c r="B5" s="71" t="s">
        <v>539</v>
      </c>
      <c r="C5" s="5" t="s">
        <v>481</v>
      </c>
      <c r="D5" s="70" t="s">
        <v>300</v>
      </c>
      <c r="E5" s="74"/>
      <c r="F5" s="5" t="s">
        <v>12</v>
      </c>
      <c r="G5" s="147">
        <v>145212121</v>
      </c>
      <c r="H5" s="126"/>
      <c r="I5" s="107" t="s">
        <v>8</v>
      </c>
      <c r="J5" s="108"/>
      <c r="K5" s="148">
        <v>100</v>
      </c>
      <c r="L5" s="149"/>
      <c r="M5" s="32"/>
      <c r="N5" s="31"/>
      <c r="O5" s="148">
        <v>162</v>
      </c>
      <c r="P5" s="149"/>
    </row>
    <row r="6" spans="1:16" ht="15.75" thickBot="1" x14ac:dyDescent="0.3">
      <c r="A6" s="12"/>
      <c r="B6" s="12"/>
      <c r="C6" s="12"/>
      <c r="D6" s="12"/>
      <c r="E6" s="12"/>
      <c r="F6" s="12"/>
      <c r="G6" s="12"/>
      <c r="H6" s="12"/>
      <c r="I6" s="12"/>
      <c r="J6" s="12"/>
      <c r="K6" s="12"/>
      <c r="L6" s="12"/>
      <c r="M6" s="12"/>
      <c r="N6" s="12"/>
      <c r="O6" s="12"/>
      <c r="P6" s="12"/>
    </row>
    <row r="7" spans="1:16" ht="15.75" thickBot="1" x14ac:dyDescent="0.3">
      <c r="A7" s="138" t="s">
        <v>31</v>
      </c>
      <c r="B7" s="139"/>
      <c r="C7" s="131"/>
      <c r="D7" s="131"/>
      <c r="E7" s="131"/>
      <c r="F7" s="131"/>
      <c r="G7" s="139" t="s">
        <v>32</v>
      </c>
      <c r="H7" s="139"/>
      <c r="I7" s="140"/>
      <c r="J7" s="140"/>
      <c r="K7" s="140"/>
      <c r="L7" s="139" t="s">
        <v>33</v>
      </c>
      <c r="M7" s="139"/>
      <c r="N7" s="131"/>
      <c r="O7" s="131"/>
      <c r="P7" s="132"/>
    </row>
    <row r="8" spans="1:16" ht="15.75" thickBot="1" x14ac:dyDescent="0.3">
      <c r="A8" s="133"/>
      <c r="B8" s="133"/>
      <c r="C8" s="133"/>
      <c r="D8" s="133"/>
      <c r="E8" s="133"/>
      <c r="F8" s="133"/>
      <c r="G8" s="133"/>
      <c r="H8" s="133"/>
      <c r="I8" s="133"/>
      <c r="J8" s="133"/>
      <c r="K8" s="133"/>
      <c r="L8" s="133"/>
      <c r="M8" s="133"/>
      <c r="N8" s="133"/>
      <c r="O8" s="133"/>
      <c r="P8" s="133"/>
    </row>
    <row r="9" spans="1:16" ht="15.75" thickBot="1" x14ac:dyDescent="0.3">
      <c r="A9" s="111" t="s">
        <v>13</v>
      </c>
      <c r="B9" s="112"/>
      <c r="C9" s="112"/>
      <c r="D9" s="112"/>
      <c r="E9" s="112"/>
      <c r="F9" s="112"/>
      <c r="G9" s="112"/>
      <c r="H9" s="112"/>
      <c r="I9" s="112"/>
      <c r="J9" s="112"/>
      <c r="K9" s="112"/>
      <c r="L9" s="112"/>
      <c r="M9" s="112"/>
      <c r="N9" s="112"/>
      <c r="O9" s="112"/>
      <c r="P9" s="113"/>
    </row>
    <row r="10" spans="1:16" s="6" customFormat="1" x14ac:dyDescent="0.25">
      <c r="A10" s="134" t="s">
        <v>1</v>
      </c>
      <c r="B10" s="135"/>
      <c r="C10" s="135" t="s">
        <v>3</v>
      </c>
      <c r="D10" s="135"/>
      <c r="E10" s="135" t="s">
        <v>4</v>
      </c>
      <c r="F10" s="135"/>
      <c r="G10" s="104" t="s">
        <v>20</v>
      </c>
      <c r="H10" s="105"/>
      <c r="I10" s="104" t="s">
        <v>21</v>
      </c>
      <c r="J10" s="136"/>
      <c r="K10" s="102" t="s">
        <v>5</v>
      </c>
      <c r="L10" s="102"/>
      <c r="M10" s="102"/>
      <c r="N10" s="102"/>
      <c r="O10" s="102"/>
      <c r="P10" s="137"/>
    </row>
    <row r="11" spans="1:16" x14ac:dyDescent="0.25">
      <c r="A11" s="118" t="s">
        <v>304</v>
      </c>
      <c r="B11" s="119"/>
      <c r="C11" s="119" t="s">
        <v>168</v>
      </c>
      <c r="D11" s="119"/>
      <c r="E11" s="119" t="s">
        <v>121</v>
      </c>
      <c r="F11" s="119"/>
      <c r="G11" s="120">
        <v>145213216</v>
      </c>
      <c r="H11" s="121"/>
      <c r="I11" s="120"/>
      <c r="J11" s="122"/>
      <c r="K11" s="129" t="s">
        <v>303</v>
      </c>
      <c r="L11" s="129"/>
      <c r="M11" s="129"/>
      <c r="N11" s="129"/>
      <c r="O11" s="129"/>
      <c r="P11" s="130"/>
    </row>
    <row r="12" spans="1:16" x14ac:dyDescent="0.25">
      <c r="A12" s="118"/>
      <c r="B12" s="119"/>
      <c r="C12" s="119"/>
      <c r="D12" s="119"/>
      <c r="E12" s="119"/>
      <c r="F12" s="119"/>
      <c r="G12" s="120"/>
      <c r="H12" s="121"/>
      <c r="I12" s="120"/>
      <c r="J12" s="122"/>
      <c r="K12" s="123"/>
      <c r="L12" s="123"/>
      <c r="M12" s="123"/>
      <c r="N12" s="123"/>
      <c r="O12" s="123"/>
      <c r="P12" s="124"/>
    </row>
    <row r="13" spans="1:16" x14ac:dyDescent="0.25">
      <c r="A13" s="118"/>
      <c r="B13" s="119"/>
      <c r="C13" s="119"/>
      <c r="D13" s="119"/>
      <c r="E13" s="119"/>
      <c r="F13" s="119"/>
      <c r="G13" s="120"/>
      <c r="H13" s="121"/>
      <c r="I13" s="120"/>
      <c r="J13" s="122"/>
      <c r="K13" s="123"/>
      <c r="L13" s="123"/>
      <c r="M13" s="123"/>
      <c r="N13" s="123"/>
      <c r="O13" s="123"/>
      <c r="P13" s="124"/>
    </row>
    <row r="14" spans="1:16" x14ac:dyDescent="0.25">
      <c r="A14" s="118"/>
      <c r="B14" s="119"/>
      <c r="C14" s="119"/>
      <c r="D14" s="119"/>
      <c r="E14" s="119"/>
      <c r="F14" s="119"/>
      <c r="G14" s="120"/>
      <c r="H14" s="121"/>
      <c r="I14" s="120"/>
      <c r="J14" s="122"/>
      <c r="K14" s="123"/>
      <c r="L14" s="123"/>
      <c r="M14" s="123"/>
      <c r="N14" s="123"/>
      <c r="O14" s="123"/>
      <c r="P14" s="124"/>
    </row>
    <row r="15" spans="1:16" x14ac:dyDescent="0.25">
      <c r="A15" s="118"/>
      <c r="B15" s="119"/>
      <c r="C15" s="119"/>
      <c r="D15" s="119"/>
      <c r="E15" s="119"/>
      <c r="F15" s="119"/>
      <c r="G15" s="120"/>
      <c r="H15" s="121"/>
      <c r="I15" s="120"/>
      <c r="J15" s="122"/>
      <c r="K15" s="123"/>
      <c r="L15" s="123"/>
      <c r="M15" s="123"/>
      <c r="N15" s="123"/>
      <c r="O15" s="123"/>
      <c r="P15" s="124"/>
    </row>
    <row r="16" spans="1:16" ht="15.75" thickBot="1" x14ac:dyDescent="0.3">
      <c r="A16" s="125"/>
      <c r="B16" s="109"/>
      <c r="C16" s="109"/>
      <c r="D16" s="109"/>
      <c r="E16" s="109"/>
      <c r="F16" s="109"/>
      <c r="G16" s="126"/>
      <c r="H16" s="127"/>
      <c r="I16" s="126"/>
      <c r="J16" s="128"/>
      <c r="K16" s="116"/>
      <c r="L16" s="116"/>
      <c r="M16" s="116"/>
      <c r="N16" s="116"/>
      <c r="O16" s="116"/>
      <c r="P16" s="117"/>
    </row>
    <row r="17" spans="1:17" ht="15.75" thickBot="1" x14ac:dyDescent="0.3">
      <c r="A17" s="100"/>
      <c r="B17" s="100"/>
      <c r="C17" s="100"/>
      <c r="D17" s="100"/>
      <c r="E17" s="100"/>
      <c r="F17" s="100"/>
      <c r="G17" s="100"/>
      <c r="H17" s="100"/>
      <c r="I17" s="100"/>
      <c r="J17" s="100"/>
      <c r="K17" s="100"/>
      <c r="L17" s="100"/>
      <c r="M17" s="100"/>
      <c r="N17" s="100"/>
      <c r="O17" s="100"/>
      <c r="P17" s="100"/>
    </row>
    <row r="18" spans="1:17" x14ac:dyDescent="0.25">
      <c r="A18" s="101" t="s">
        <v>23</v>
      </c>
      <c r="B18" s="102"/>
      <c r="C18" s="102"/>
      <c r="D18" s="103"/>
      <c r="E18" s="103"/>
      <c r="F18" s="103"/>
      <c r="G18" s="103"/>
      <c r="H18" s="103"/>
      <c r="I18" s="103"/>
      <c r="J18" s="104" t="s">
        <v>25</v>
      </c>
      <c r="K18" s="105"/>
      <c r="L18" s="103"/>
      <c r="M18" s="103"/>
      <c r="N18" s="103"/>
      <c r="O18" s="103"/>
      <c r="P18" s="106"/>
    </row>
    <row r="19" spans="1:17" ht="15.75" thickBot="1" x14ac:dyDescent="0.3">
      <c r="A19" s="107" t="s">
        <v>24</v>
      </c>
      <c r="B19" s="108"/>
      <c r="C19" s="108"/>
      <c r="D19" s="109"/>
      <c r="E19" s="109"/>
      <c r="F19" s="109"/>
      <c r="G19" s="109"/>
      <c r="H19" s="109"/>
      <c r="I19" s="109"/>
      <c r="J19" s="108" t="s">
        <v>26</v>
      </c>
      <c r="K19" s="108"/>
      <c r="L19" s="109"/>
      <c r="M19" s="109"/>
      <c r="N19" s="109"/>
      <c r="O19" s="109"/>
      <c r="P19" s="110"/>
    </row>
    <row r="20" spans="1:17" ht="15.75" thickBot="1" x14ac:dyDescent="0.3">
      <c r="A20" s="100"/>
      <c r="B20" s="100"/>
      <c r="C20" s="100"/>
      <c r="D20" s="100"/>
      <c r="E20" s="100"/>
      <c r="F20" s="100"/>
      <c r="G20" s="100"/>
      <c r="H20" s="100"/>
      <c r="I20" s="100"/>
      <c r="J20" s="100"/>
      <c r="K20" s="100"/>
      <c r="L20" s="100"/>
      <c r="M20" s="100"/>
      <c r="N20" s="100"/>
      <c r="O20" s="100"/>
      <c r="P20" s="100"/>
    </row>
    <row r="21" spans="1:17" ht="15.75" thickBot="1" x14ac:dyDescent="0.3">
      <c r="A21" s="111" t="s">
        <v>27</v>
      </c>
      <c r="B21" s="112"/>
      <c r="C21" s="112" t="s">
        <v>28</v>
      </c>
      <c r="D21" s="112"/>
      <c r="E21" s="112"/>
      <c r="F21" s="112"/>
      <c r="G21" s="112"/>
      <c r="H21" s="112"/>
      <c r="I21" s="112"/>
      <c r="J21" s="112"/>
      <c r="K21" s="112"/>
      <c r="L21" s="112"/>
      <c r="M21" s="112"/>
      <c r="N21" s="112"/>
      <c r="O21" s="112"/>
      <c r="P21" s="113"/>
      <c r="Q21" s="7"/>
    </row>
    <row r="22" spans="1:17" ht="30" customHeight="1" x14ac:dyDescent="0.25">
      <c r="A22" s="114"/>
      <c r="B22" s="115"/>
      <c r="C22" s="91"/>
      <c r="D22" s="91"/>
      <c r="E22" s="91"/>
      <c r="F22" s="91"/>
      <c r="G22" s="91"/>
      <c r="H22" s="91"/>
      <c r="I22" s="91"/>
      <c r="J22" s="91"/>
      <c r="K22" s="91"/>
      <c r="L22" s="91"/>
      <c r="M22" s="91"/>
      <c r="N22" s="91"/>
      <c r="O22" s="91"/>
      <c r="P22" s="92"/>
      <c r="Q22" s="7"/>
    </row>
    <row r="23" spans="1:17" ht="30" customHeight="1" x14ac:dyDescent="0.25">
      <c r="A23" s="89"/>
      <c r="B23" s="90"/>
      <c r="C23" s="97"/>
      <c r="D23" s="98"/>
      <c r="E23" s="98"/>
      <c r="F23" s="98"/>
      <c r="G23" s="98"/>
      <c r="H23" s="98"/>
      <c r="I23" s="98"/>
      <c r="J23" s="98"/>
      <c r="K23" s="98"/>
      <c r="L23" s="98"/>
      <c r="M23" s="98"/>
      <c r="N23" s="98"/>
      <c r="O23" s="98"/>
      <c r="P23" s="99"/>
      <c r="Q23" s="7"/>
    </row>
    <row r="24" spans="1:17" ht="30" customHeight="1" x14ac:dyDescent="0.25">
      <c r="A24" s="89"/>
      <c r="B24" s="90"/>
      <c r="C24" s="91"/>
      <c r="D24" s="91"/>
      <c r="E24" s="91"/>
      <c r="F24" s="91"/>
      <c r="G24" s="91"/>
      <c r="H24" s="91"/>
      <c r="I24" s="91"/>
      <c r="J24" s="91"/>
      <c r="K24" s="91"/>
      <c r="L24" s="91"/>
      <c r="M24" s="91"/>
      <c r="N24" s="91"/>
      <c r="O24" s="91"/>
      <c r="P24" s="92"/>
      <c r="Q24" s="7"/>
    </row>
    <row r="25" spans="1:17" ht="30" customHeight="1" x14ac:dyDescent="0.25">
      <c r="A25" s="89"/>
      <c r="B25" s="90"/>
      <c r="C25" s="91"/>
      <c r="D25" s="91"/>
      <c r="E25" s="91"/>
      <c r="F25" s="91"/>
      <c r="G25" s="91"/>
      <c r="H25" s="91"/>
      <c r="I25" s="91"/>
      <c r="J25" s="91"/>
      <c r="K25" s="91"/>
      <c r="L25" s="91"/>
      <c r="M25" s="91"/>
      <c r="N25" s="91"/>
      <c r="O25" s="91"/>
      <c r="P25" s="92"/>
    </row>
    <row r="26" spans="1:17" ht="30" customHeight="1" thickBot="1" x14ac:dyDescent="0.3">
      <c r="A26" s="93"/>
      <c r="B26" s="94"/>
      <c r="C26" s="95"/>
      <c r="D26" s="95"/>
      <c r="E26" s="95"/>
      <c r="F26" s="95"/>
      <c r="G26" s="95"/>
      <c r="H26" s="95"/>
      <c r="I26" s="95"/>
      <c r="J26" s="95"/>
      <c r="K26" s="95"/>
      <c r="L26" s="95"/>
      <c r="M26" s="95"/>
      <c r="N26" s="95"/>
      <c r="O26" s="95"/>
      <c r="P26" s="96"/>
    </row>
  </sheetData>
  <mergeCells count="86">
    <mergeCell ref="A24:B24"/>
    <mergeCell ref="C24:P24"/>
    <mergeCell ref="A25:B25"/>
    <mergeCell ref="C25:P25"/>
    <mergeCell ref="A26:B26"/>
    <mergeCell ref="C26:P26"/>
    <mergeCell ref="A23:B23"/>
    <mergeCell ref="C23:P23"/>
    <mergeCell ref="A17:P17"/>
    <mergeCell ref="A18:C18"/>
    <mergeCell ref="D18:I18"/>
    <mergeCell ref="J18:K18"/>
    <mergeCell ref="L18:P18"/>
    <mergeCell ref="A19:C19"/>
    <mergeCell ref="D19:I19"/>
    <mergeCell ref="J19:K19"/>
    <mergeCell ref="L19:P19"/>
    <mergeCell ref="A20:P20"/>
    <mergeCell ref="A21:B21"/>
    <mergeCell ref="C21:P21"/>
    <mergeCell ref="A22:B22"/>
    <mergeCell ref="C22:P22"/>
    <mergeCell ref="K16:P16"/>
    <mergeCell ref="A15:B15"/>
    <mergeCell ref="C15:D15"/>
    <mergeCell ref="E15:F15"/>
    <mergeCell ref="G15:H15"/>
    <mergeCell ref="I15:J15"/>
    <mergeCell ref="K15:P15"/>
    <mergeCell ref="A16:B16"/>
    <mergeCell ref="C16:D16"/>
    <mergeCell ref="E16:F16"/>
    <mergeCell ref="G16:H16"/>
    <mergeCell ref="I16:J16"/>
    <mergeCell ref="K14:P14"/>
    <mergeCell ref="A13:B13"/>
    <mergeCell ref="C13:D13"/>
    <mergeCell ref="E13:F13"/>
    <mergeCell ref="G13:H13"/>
    <mergeCell ref="I13:J13"/>
    <mergeCell ref="K13:P13"/>
    <mergeCell ref="A14:B14"/>
    <mergeCell ref="C14:D14"/>
    <mergeCell ref="E14:F14"/>
    <mergeCell ref="G14:H14"/>
    <mergeCell ref="I14:J14"/>
    <mergeCell ref="K12:P12"/>
    <mergeCell ref="A11:B11"/>
    <mergeCell ref="C11:D11"/>
    <mergeCell ref="E11:F11"/>
    <mergeCell ref="G11:H11"/>
    <mergeCell ref="I11:J11"/>
    <mergeCell ref="K11:P11"/>
    <mergeCell ref="A12:B12"/>
    <mergeCell ref="C12:D12"/>
    <mergeCell ref="E12:F12"/>
    <mergeCell ref="G12:H12"/>
    <mergeCell ref="I12:J12"/>
    <mergeCell ref="A8:P8"/>
    <mergeCell ref="A9:P9"/>
    <mergeCell ref="A10:B10"/>
    <mergeCell ref="C10:D10"/>
    <mergeCell ref="E10:F10"/>
    <mergeCell ref="G10:H10"/>
    <mergeCell ref="I10:J10"/>
    <mergeCell ref="K10:P10"/>
    <mergeCell ref="N7:P7"/>
    <mergeCell ref="B4:H4"/>
    <mergeCell ref="I4:J4"/>
    <mergeCell ref="K4:L4"/>
    <mergeCell ref="O4:P4"/>
    <mergeCell ref="G5:H5"/>
    <mergeCell ref="I5:J5"/>
    <mergeCell ref="K5:L5"/>
    <mergeCell ref="O5:P5"/>
    <mergeCell ref="A7:B7"/>
    <mergeCell ref="C7:F7"/>
    <mergeCell ref="G7:H7"/>
    <mergeCell ref="I7:K7"/>
    <mergeCell ref="L7:M7"/>
    <mergeCell ref="A1:P1"/>
    <mergeCell ref="A2:P2"/>
    <mergeCell ref="B3:H3"/>
    <mergeCell ref="I3:J3"/>
    <mergeCell ref="K3:L3"/>
    <mergeCell ref="M3:P3"/>
  </mergeCells>
  <hyperlinks>
    <hyperlink ref="K11" r:id="rId1"/>
  </hyperlinks>
  <pageMargins left="0.25" right="0.25" top="0.75" bottom="0.75" header="0.3" footer="0.3"/>
  <pageSetup paperSize="9" orientation="landscape" horizontalDpi="0" verticalDpi="0"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3"/>
  <dimension ref="A1:Q26"/>
  <sheetViews>
    <sheetView tabSelected="1" zoomScale="115" zoomScaleNormal="115" workbookViewId="0">
      <selection activeCell="M5" sqref="M5:N5"/>
    </sheetView>
  </sheetViews>
  <sheetFormatPr baseColWidth="10" defaultColWidth="9.140625" defaultRowHeight="15" x14ac:dyDescent="0.25"/>
  <cols>
    <col min="1" max="16" width="8.7109375" style="1" customWidth="1"/>
    <col min="17" max="16384" width="9.140625" style="1"/>
  </cols>
  <sheetData>
    <row r="1" spans="1:16" ht="28.5" x14ac:dyDescent="0.25">
      <c r="A1" s="150" t="s">
        <v>305</v>
      </c>
      <c r="B1" s="150"/>
      <c r="C1" s="150"/>
      <c r="D1" s="150"/>
      <c r="E1" s="150"/>
      <c r="F1" s="150"/>
      <c r="G1" s="150"/>
      <c r="H1" s="150"/>
      <c r="I1" s="150"/>
      <c r="J1" s="150"/>
      <c r="K1" s="150"/>
      <c r="L1" s="150"/>
      <c r="M1" s="150"/>
      <c r="N1" s="150"/>
      <c r="O1" s="150"/>
      <c r="P1" s="150"/>
    </row>
    <row r="2" spans="1:16" ht="23.25" customHeight="1" thickBot="1" x14ac:dyDescent="0.3">
      <c r="A2" s="151"/>
      <c r="B2" s="151"/>
      <c r="C2" s="151"/>
      <c r="D2" s="151"/>
      <c r="E2" s="151"/>
      <c r="F2" s="151"/>
      <c r="G2" s="151"/>
      <c r="H2" s="151"/>
      <c r="I2" s="151"/>
      <c r="J2" s="151"/>
      <c r="K2" s="151"/>
      <c r="L2" s="151"/>
      <c r="M2" s="151"/>
      <c r="N2" s="151"/>
      <c r="O2" s="151"/>
      <c r="P2" s="151"/>
    </row>
    <row r="3" spans="1:16" x14ac:dyDescent="0.25">
      <c r="A3" s="2" t="s">
        <v>1</v>
      </c>
      <c r="B3" s="103" t="s">
        <v>306</v>
      </c>
      <c r="C3" s="103"/>
      <c r="D3" s="103"/>
      <c r="E3" s="103"/>
      <c r="F3" s="103"/>
      <c r="G3" s="103"/>
      <c r="H3" s="152"/>
      <c r="I3" s="101" t="s">
        <v>6</v>
      </c>
      <c r="J3" s="102"/>
      <c r="K3" s="153">
        <v>3</v>
      </c>
      <c r="L3" s="154"/>
      <c r="M3" s="101" t="s">
        <v>9</v>
      </c>
      <c r="N3" s="102"/>
      <c r="O3" s="102"/>
      <c r="P3" s="137"/>
    </row>
    <row r="4" spans="1:16" x14ac:dyDescent="0.25">
      <c r="A4" s="3" t="s">
        <v>2</v>
      </c>
      <c r="B4" s="119" t="s">
        <v>307</v>
      </c>
      <c r="C4" s="119"/>
      <c r="D4" s="119"/>
      <c r="E4" s="119"/>
      <c r="F4" s="119"/>
      <c r="G4" s="119"/>
      <c r="H4" s="141"/>
      <c r="I4" s="142" t="s">
        <v>7</v>
      </c>
      <c r="J4" s="143"/>
      <c r="K4" s="144">
        <v>32</v>
      </c>
      <c r="L4" s="145"/>
      <c r="M4" s="29" t="s">
        <v>10</v>
      </c>
      <c r="N4" s="30" t="s">
        <v>76</v>
      </c>
      <c r="O4" s="143" t="s">
        <v>11</v>
      </c>
      <c r="P4" s="146"/>
    </row>
    <row r="5" spans="1:16" ht="15.75" thickBot="1" x14ac:dyDescent="0.3">
      <c r="A5" s="4" t="s">
        <v>480</v>
      </c>
      <c r="B5" s="71" t="s">
        <v>540</v>
      </c>
      <c r="C5" s="5" t="s">
        <v>481</v>
      </c>
      <c r="D5" s="70" t="s">
        <v>541</v>
      </c>
      <c r="E5" s="74"/>
      <c r="F5" s="5" t="s">
        <v>12</v>
      </c>
      <c r="G5" s="147">
        <v>243434343</v>
      </c>
      <c r="H5" s="126"/>
      <c r="I5" s="107" t="s">
        <v>8</v>
      </c>
      <c r="J5" s="108"/>
      <c r="K5" s="148">
        <v>200</v>
      </c>
      <c r="L5" s="149"/>
      <c r="M5" s="32"/>
      <c r="N5" s="31"/>
      <c r="O5" s="148">
        <v>160</v>
      </c>
      <c r="P5" s="149"/>
    </row>
    <row r="6" spans="1:16" ht="15.75" thickBot="1" x14ac:dyDescent="0.3">
      <c r="A6" s="12"/>
      <c r="B6" s="12"/>
      <c r="C6" s="12"/>
      <c r="D6" s="12"/>
      <c r="E6" s="12"/>
      <c r="F6" s="12"/>
      <c r="G6" s="12"/>
      <c r="H6" s="12"/>
      <c r="I6" s="12"/>
      <c r="J6" s="12"/>
      <c r="K6" s="12"/>
      <c r="L6" s="12"/>
      <c r="M6" s="12"/>
      <c r="N6" s="12"/>
      <c r="O6" s="12"/>
      <c r="P6" s="12"/>
    </row>
    <row r="7" spans="1:16" ht="15.75" thickBot="1" x14ac:dyDescent="0.3">
      <c r="A7" s="138" t="s">
        <v>31</v>
      </c>
      <c r="B7" s="139"/>
      <c r="C7" s="131"/>
      <c r="D7" s="131"/>
      <c r="E7" s="131"/>
      <c r="F7" s="131"/>
      <c r="G7" s="139" t="s">
        <v>32</v>
      </c>
      <c r="H7" s="139"/>
      <c r="I7" s="140"/>
      <c r="J7" s="140"/>
      <c r="K7" s="140"/>
      <c r="L7" s="139" t="s">
        <v>33</v>
      </c>
      <c r="M7" s="139"/>
      <c r="N7" s="131"/>
      <c r="O7" s="131"/>
      <c r="P7" s="132"/>
    </row>
    <row r="8" spans="1:16" ht="15.75" thickBot="1" x14ac:dyDescent="0.3">
      <c r="A8" s="133"/>
      <c r="B8" s="133"/>
      <c r="C8" s="133"/>
      <c r="D8" s="133"/>
      <c r="E8" s="133"/>
      <c r="F8" s="133"/>
      <c r="G8" s="133"/>
      <c r="H8" s="133"/>
      <c r="I8" s="133"/>
      <c r="J8" s="133"/>
      <c r="K8" s="133"/>
      <c r="L8" s="133"/>
      <c r="M8" s="133"/>
      <c r="N8" s="133"/>
      <c r="O8" s="133"/>
      <c r="P8" s="133"/>
    </row>
    <row r="9" spans="1:16" ht="15.75" thickBot="1" x14ac:dyDescent="0.3">
      <c r="A9" s="111" t="s">
        <v>13</v>
      </c>
      <c r="B9" s="112"/>
      <c r="C9" s="112"/>
      <c r="D9" s="112"/>
      <c r="E9" s="112"/>
      <c r="F9" s="112"/>
      <c r="G9" s="112"/>
      <c r="H9" s="112"/>
      <c r="I9" s="112"/>
      <c r="J9" s="112"/>
      <c r="K9" s="112"/>
      <c r="L9" s="112"/>
      <c r="M9" s="112"/>
      <c r="N9" s="112"/>
      <c r="O9" s="112"/>
      <c r="P9" s="113"/>
    </row>
    <row r="10" spans="1:16" s="6" customFormat="1" x14ac:dyDescent="0.25">
      <c r="A10" s="134" t="s">
        <v>1</v>
      </c>
      <c r="B10" s="135"/>
      <c r="C10" s="135" t="s">
        <v>3</v>
      </c>
      <c r="D10" s="135"/>
      <c r="E10" s="135" t="s">
        <v>4</v>
      </c>
      <c r="F10" s="135"/>
      <c r="G10" s="104" t="s">
        <v>20</v>
      </c>
      <c r="H10" s="105"/>
      <c r="I10" s="104" t="s">
        <v>21</v>
      </c>
      <c r="J10" s="136"/>
      <c r="K10" s="102" t="s">
        <v>5</v>
      </c>
      <c r="L10" s="102"/>
      <c r="M10" s="102"/>
      <c r="N10" s="102"/>
      <c r="O10" s="102"/>
      <c r="P10" s="137"/>
    </row>
    <row r="11" spans="1:16" x14ac:dyDescent="0.25">
      <c r="A11" s="118" t="s">
        <v>308</v>
      </c>
      <c r="B11" s="119"/>
      <c r="C11" s="119" t="s">
        <v>309</v>
      </c>
      <c r="D11" s="119"/>
      <c r="E11" s="119" t="s">
        <v>71</v>
      </c>
      <c r="F11" s="119"/>
      <c r="G11" s="120"/>
      <c r="H11" s="121"/>
      <c r="I11" s="120"/>
      <c r="J11" s="122"/>
      <c r="K11" s="129" t="s">
        <v>310</v>
      </c>
      <c r="L11" s="129"/>
      <c r="M11" s="129"/>
      <c r="N11" s="129"/>
      <c r="O11" s="129"/>
      <c r="P11" s="130"/>
    </row>
    <row r="12" spans="1:16" x14ac:dyDescent="0.25">
      <c r="A12" s="118"/>
      <c r="B12" s="119"/>
      <c r="C12" s="119"/>
      <c r="D12" s="119"/>
      <c r="E12" s="119"/>
      <c r="F12" s="119"/>
      <c r="G12" s="120"/>
      <c r="H12" s="121"/>
      <c r="I12" s="120"/>
      <c r="J12" s="122"/>
      <c r="K12" s="123"/>
      <c r="L12" s="123"/>
      <c r="M12" s="123"/>
      <c r="N12" s="123"/>
      <c r="O12" s="123"/>
      <c r="P12" s="124"/>
    </row>
    <row r="13" spans="1:16" x14ac:dyDescent="0.25">
      <c r="A13" s="118"/>
      <c r="B13" s="119"/>
      <c r="C13" s="119"/>
      <c r="D13" s="119"/>
      <c r="E13" s="119"/>
      <c r="F13" s="119"/>
      <c r="G13" s="120"/>
      <c r="H13" s="121"/>
      <c r="I13" s="120"/>
      <c r="J13" s="122"/>
      <c r="K13" s="123"/>
      <c r="L13" s="123"/>
      <c r="M13" s="123"/>
      <c r="N13" s="123"/>
      <c r="O13" s="123"/>
      <c r="P13" s="124"/>
    </row>
    <row r="14" spans="1:16" x14ac:dyDescent="0.25">
      <c r="A14" s="118"/>
      <c r="B14" s="119"/>
      <c r="C14" s="119"/>
      <c r="D14" s="119"/>
      <c r="E14" s="119"/>
      <c r="F14" s="119"/>
      <c r="G14" s="120"/>
      <c r="H14" s="121"/>
      <c r="I14" s="120"/>
      <c r="J14" s="122"/>
      <c r="K14" s="123"/>
      <c r="L14" s="123"/>
      <c r="M14" s="123"/>
      <c r="N14" s="123"/>
      <c r="O14" s="123"/>
      <c r="P14" s="124"/>
    </row>
    <row r="15" spans="1:16" x14ac:dyDescent="0.25">
      <c r="A15" s="118"/>
      <c r="B15" s="119"/>
      <c r="C15" s="119"/>
      <c r="D15" s="119"/>
      <c r="E15" s="119"/>
      <c r="F15" s="119"/>
      <c r="G15" s="120"/>
      <c r="H15" s="121"/>
      <c r="I15" s="120"/>
      <c r="J15" s="122"/>
      <c r="K15" s="123"/>
      <c r="L15" s="123"/>
      <c r="M15" s="123"/>
      <c r="N15" s="123"/>
      <c r="O15" s="123"/>
      <c r="P15" s="124"/>
    </row>
    <row r="16" spans="1:16" ht="15.75" thickBot="1" x14ac:dyDescent="0.3">
      <c r="A16" s="125"/>
      <c r="B16" s="109"/>
      <c r="C16" s="109"/>
      <c r="D16" s="109"/>
      <c r="E16" s="109"/>
      <c r="F16" s="109"/>
      <c r="G16" s="126"/>
      <c r="H16" s="127"/>
      <c r="I16" s="126"/>
      <c r="J16" s="128"/>
      <c r="K16" s="116"/>
      <c r="L16" s="116"/>
      <c r="M16" s="116"/>
      <c r="N16" s="116"/>
      <c r="O16" s="116"/>
      <c r="P16" s="117"/>
    </row>
    <row r="17" spans="1:17" ht="15.75" thickBot="1" x14ac:dyDescent="0.3">
      <c r="A17" s="100"/>
      <c r="B17" s="100"/>
      <c r="C17" s="100"/>
      <c r="D17" s="100"/>
      <c r="E17" s="100"/>
      <c r="F17" s="100"/>
      <c r="G17" s="100"/>
      <c r="H17" s="100"/>
      <c r="I17" s="100"/>
      <c r="J17" s="100"/>
      <c r="K17" s="100"/>
      <c r="L17" s="100"/>
      <c r="M17" s="100"/>
      <c r="N17" s="100"/>
      <c r="O17" s="100"/>
      <c r="P17" s="100"/>
    </row>
    <row r="18" spans="1:17" x14ac:dyDescent="0.25">
      <c r="A18" s="101" t="s">
        <v>23</v>
      </c>
      <c r="B18" s="102"/>
      <c r="C18" s="102"/>
      <c r="D18" s="103"/>
      <c r="E18" s="103"/>
      <c r="F18" s="103"/>
      <c r="G18" s="103"/>
      <c r="H18" s="103"/>
      <c r="I18" s="103"/>
      <c r="J18" s="104" t="s">
        <v>25</v>
      </c>
      <c r="K18" s="105"/>
      <c r="L18" s="103"/>
      <c r="M18" s="103"/>
      <c r="N18" s="103"/>
      <c r="O18" s="103"/>
      <c r="P18" s="106"/>
    </row>
    <row r="19" spans="1:17" ht="15.75" thickBot="1" x14ac:dyDescent="0.3">
      <c r="A19" s="107" t="s">
        <v>24</v>
      </c>
      <c r="B19" s="108"/>
      <c r="C19" s="108"/>
      <c r="D19" s="109"/>
      <c r="E19" s="109"/>
      <c r="F19" s="109"/>
      <c r="G19" s="109"/>
      <c r="H19" s="109"/>
      <c r="I19" s="109"/>
      <c r="J19" s="108" t="s">
        <v>26</v>
      </c>
      <c r="K19" s="108"/>
      <c r="L19" s="109"/>
      <c r="M19" s="109"/>
      <c r="N19" s="109"/>
      <c r="O19" s="109"/>
      <c r="P19" s="110"/>
    </row>
    <row r="20" spans="1:17" ht="15.75" thickBot="1" x14ac:dyDescent="0.3">
      <c r="A20" s="100"/>
      <c r="B20" s="100"/>
      <c r="C20" s="100"/>
      <c r="D20" s="100"/>
      <c r="E20" s="100"/>
      <c r="F20" s="100"/>
      <c r="G20" s="100"/>
      <c r="H20" s="100"/>
      <c r="I20" s="100"/>
      <c r="J20" s="100"/>
      <c r="K20" s="100"/>
      <c r="L20" s="100"/>
      <c r="M20" s="100"/>
      <c r="N20" s="100"/>
      <c r="O20" s="100"/>
      <c r="P20" s="100"/>
    </row>
    <row r="21" spans="1:17" ht="15.75" thickBot="1" x14ac:dyDescent="0.3">
      <c r="A21" s="111" t="s">
        <v>27</v>
      </c>
      <c r="B21" s="112"/>
      <c r="C21" s="112" t="s">
        <v>28</v>
      </c>
      <c r="D21" s="112"/>
      <c r="E21" s="112"/>
      <c r="F21" s="112"/>
      <c r="G21" s="112"/>
      <c r="H21" s="112"/>
      <c r="I21" s="112"/>
      <c r="J21" s="112"/>
      <c r="K21" s="112"/>
      <c r="L21" s="112"/>
      <c r="M21" s="112"/>
      <c r="N21" s="112"/>
      <c r="O21" s="112"/>
      <c r="P21" s="113"/>
      <c r="Q21" s="7"/>
    </row>
    <row r="22" spans="1:17" ht="30" customHeight="1" x14ac:dyDescent="0.25">
      <c r="A22" s="114">
        <v>42128</v>
      </c>
      <c r="B22" s="115"/>
      <c r="C22" s="91" t="s">
        <v>311</v>
      </c>
      <c r="D22" s="91"/>
      <c r="E22" s="91"/>
      <c r="F22" s="91"/>
      <c r="G22" s="91"/>
      <c r="H22" s="91"/>
      <c r="I22" s="91"/>
      <c r="J22" s="91"/>
      <c r="K22" s="91"/>
      <c r="L22" s="91"/>
      <c r="M22" s="91"/>
      <c r="N22" s="91"/>
      <c r="O22" s="91"/>
      <c r="P22" s="92"/>
      <c r="Q22" s="7"/>
    </row>
    <row r="23" spans="1:17" ht="30" customHeight="1" x14ac:dyDescent="0.25">
      <c r="A23" s="89"/>
      <c r="B23" s="90"/>
      <c r="C23" s="97"/>
      <c r="D23" s="98"/>
      <c r="E23" s="98"/>
      <c r="F23" s="98"/>
      <c r="G23" s="98"/>
      <c r="H23" s="98"/>
      <c r="I23" s="98"/>
      <c r="J23" s="98"/>
      <c r="K23" s="98"/>
      <c r="L23" s="98"/>
      <c r="M23" s="98"/>
      <c r="N23" s="98"/>
      <c r="O23" s="98"/>
      <c r="P23" s="99"/>
      <c r="Q23" s="7"/>
    </row>
    <row r="24" spans="1:17" ht="30" customHeight="1" x14ac:dyDescent="0.25">
      <c r="A24" s="89"/>
      <c r="B24" s="90"/>
      <c r="C24" s="91"/>
      <c r="D24" s="91"/>
      <c r="E24" s="91"/>
      <c r="F24" s="91"/>
      <c r="G24" s="91"/>
      <c r="H24" s="91"/>
      <c r="I24" s="91"/>
      <c r="J24" s="91"/>
      <c r="K24" s="91"/>
      <c r="L24" s="91"/>
      <c r="M24" s="91"/>
      <c r="N24" s="91"/>
      <c r="O24" s="91"/>
      <c r="P24" s="92"/>
      <c r="Q24" s="7"/>
    </row>
    <row r="25" spans="1:17" ht="30" customHeight="1" x14ac:dyDescent="0.25">
      <c r="A25" s="89"/>
      <c r="B25" s="90"/>
      <c r="C25" s="91"/>
      <c r="D25" s="91"/>
      <c r="E25" s="91"/>
      <c r="F25" s="91"/>
      <c r="G25" s="91"/>
      <c r="H25" s="91"/>
      <c r="I25" s="91"/>
      <c r="J25" s="91"/>
      <c r="K25" s="91"/>
      <c r="L25" s="91"/>
      <c r="M25" s="91"/>
      <c r="N25" s="91"/>
      <c r="O25" s="91"/>
      <c r="P25" s="92"/>
    </row>
    <row r="26" spans="1:17" ht="30" customHeight="1" thickBot="1" x14ac:dyDescent="0.3">
      <c r="A26" s="93"/>
      <c r="B26" s="94"/>
      <c r="C26" s="95"/>
      <c r="D26" s="95"/>
      <c r="E26" s="95"/>
      <c r="F26" s="95"/>
      <c r="G26" s="95"/>
      <c r="H26" s="95"/>
      <c r="I26" s="95"/>
      <c r="J26" s="95"/>
      <c r="K26" s="95"/>
      <c r="L26" s="95"/>
      <c r="M26" s="95"/>
      <c r="N26" s="95"/>
      <c r="O26" s="95"/>
      <c r="P26" s="96"/>
    </row>
  </sheetData>
  <mergeCells count="86">
    <mergeCell ref="A24:B24"/>
    <mergeCell ref="C24:P24"/>
    <mergeCell ref="A25:B25"/>
    <mergeCell ref="C25:P25"/>
    <mergeCell ref="A26:B26"/>
    <mergeCell ref="C26:P26"/>
    <mergeCell ref="A23:B23"/>
    <mergeCell ref="C23:P23"/>
    <mergeCell ref="A17:P17"/>
    <mergeCell ref="A18:C18"/>
    <mergeCell ref="D18:I18"/>
    <mergeCell ref="J18:K18"/>
    <mergeCell ref="L18:P18"/>
    <mergeCell ref="A19:C19"/>
    <mergeCell ref="D19:I19"/>
    <mergeCell ref="J19:K19"/>
    <mergeCell ref="L19:P19"/>
    <mergeCell ref="A20:P20"/>
    <mergeCell ref="A21:B21"/>
    <mergeCell ref="C21:P21"/>
    <mergeCell ref="A22:B22"/>
    <mergeCell ref="C22:P22"/>
    <mergeCell ref="K16:P16"/>
    <mergeCell ref="A15:B15"/>
    <mergeCell ref="C15:D15"/>
    <mergeCell ref="E15:F15"/>
    <mergeCell ref="G15:H15"/>
    <mergeCell ref="I15:J15"/>
    <mergeCell ref="K15:P15"/>
    <mergeCell ref="A16:B16"/>
    <mergeCell ref="C16:D16"/>
    <mergeCell ref="E16:F16"/>
    <mergeCell ref="G16:H16"/>
    <mergeCell ref="I16:J16"/>
    <mergeCell ref="K14:P14"/>
    <mergeCell ref="A13:B13"/>
    <mergeCell ref="C13:D13"/>
    <mergeCell ref="E13:F13"/>
    <mergeCell ref="G13:H13"/>
    <mergeCell ref="I13:J13"/>
    <mergeCell ref="K13:P13"/>
    <mergeCell ref="A14:B14"/>
    <mergeCell ref="C14:D14"/>
    <mergeCell ref="E14:F14"/>
    <mergeCell ref="G14:H14"/>
    <mergeCell ref="I14:J14"/>
    <mergeCell ref="K12:P12"/>
    <mergeCell ref="A11:B11"/>
    <mergeCell ref="C11:D11"/>
    <mergeCell ref="E11:F11"/>
    <mergeCell ref="G11:H11"/>
    <mergeCell ref="I11:J11"/>
    <mergeCell ref="K11:P11"/>
    <mergeCell ref="A12:B12"/>
    <mergeCell ref="C12:D12"/>
    <mergeCell ref="E12:F12"/>
    <mergeCell ref="G12:H12"/>
    <mergeCell ref="I12:J12"/>
    <mergeCell ref="A8:P8"/>
    <mergeCell ref="A9:P9"/>
    <mergeCell ref="A10:B10"/>
    <mergeCell ref="C10:D10"/>
    <mergeCell ref="E10:F10"/>
    <mergeCell ref="G10:H10"/>
    <mergeCell ref="I10:J10"/>
    <mergeCell ref="K10:P10"/>
    <mergeCell ref="N7:P7"/>
    <mergeCell ref="B4:H4"/>
    <mergeCell ref="I4:J4"/>
    <mergeCell ref="K4:L4"/>
    <mergeCell ref="O4:P4"/>
    <mergeCell ref="G5:H5"/>
    <mergeCell ref="I5:J5"/>
    <mergeCell ref="K5:L5"/>
    <mergeCell ref="O5:P5"/>
    <mergeCell ref="A7:B7"/>
    <mergeCell ref="C7:F7"/>
    <mergeCell ref="G7:H7"/>
    <mergeCell ref="I7:K7"/>
    <mergeCell ref="L7:M7"/>
    <mergeCell ref="A1:P1"/>
    <mergeCell ref="A2:P2"/>
    <mergeCell ref="B3:H3"/>
    <mergeCell ref="I3:J3"/>
    <mergeCell ref="K3:L3"/>
    <mergeCell ref="M3:P3"/>
  </mergeCells>
  <hyperlinks>
    <hyperlink ref="K11" r:id="rId1"/>
  </hyperlinks>
  <pageMargins left="0.25" right="0.25" top="0.75" bottom="0.75" header="0.3" footer="0.3"/>
  <pageSetup paperSize="9" orientation="landscape" horizontalDpi="0" verticalDpi="0"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4"/>
  <dimension ref="A1:Q26"/>
  <sheetViews>
    <sheetView tabSelected="1" zoomScale="115" zoomScaleNormal="115" workbookViewId="0">
      <selection activeCell="M5" sqref="M5:N5"/>
    </sheetView>
  </sheetViews>
  <sheetFormatPr baseColWidth="10" defaultColWidth="9.140625" defaultRowHeight="15" x14ac:dyDescent="0.25"/>
  <cols>
    <col min="1" max="16" width="8.7109375" style="1" customWidth="1"/>
    <col min="17" max="16384" width="9.140625" style="1"/>
  </cols>
  <sheetData>
    <row r="1" spans="1:16" ht="28.5" x14ac:dyDescent="0.25">
      <c r="A1" s="150" t="s">
        <v>312</v>
      </c>
      <c r="B1" s="150"/>
      <c r="C1" s="150"/>
      <c r="D1" s="150"/>
      <c r="E1" s="150"/>
      <c r="F1" s="150"/>
      <c r="G1" s="150"/>
      <c r="H1" s="150"/>
      <c r="I1" s="150"/>
      <c r="J1" s="150"/>
      <c r="K1" s="150"/>
      <c r="L1" s="150"/>
      <c r="M1" s="150"/>
      <c r="N1" s="150"/>
      <c r="O1" s="150"/>
      <c r="P1" s="150"/>
    </row>
    <row r="2" spans="1:16" ht="23.25" customHeight="1" thickBot="1" x14ac:dyDescent="0.3">
      <c r="A2" s="151"/>
      <c r="B2" s="151"/>
      <c r="C2" s="151"/>
      <c r="D2" s="151"/>
      <c r="E2" s="151"/>
      <c r="F2" s="151"/>
      <c r="G2" s="151"/>
      <c r="H2" s="151"/>
      <c r="I2" s="151"/>
      <c r="J2" s="151"/>
      <c r="K2" s="151"/>
      <c r="L2" s="151"/>
      <c r="M2" s="151"/>
      <c r="N2" s="151"/>
      <c r="O2" s="151"/>
      <c r="P2" s="151"/>
    </row>
    <row r="3" spans="1:16" x14ac:dyDescent="0.25">
      <c r="A3" s="2" t="s">
        <v>1</v>
      </c>
      <c r="B3" s="103" t="s">
        <v>313</v>
      </c>
      <c r="C3" s="103"/>
      <c r="D3" s="103"/>
      <c r="E3" s="103"/>
      <c r="F3" s="103"/>
      <c r="G3" s="103"/>
      <c r="H3" s="152"/>
      <c r="I3" s="101" t="s">
        <v>6</v>
      </c>
      <c r="J3" s="102"/>
      <c r="K3" s="153" t="s">
        <v>37</v>
      </c>
      <c r="L3" s="154"/>
      <c r="M3" s="101" t="s">
        <v>9</v>
      </c>
      <c r="N3" s="102"/>
      <c r="O3" s="102"/>
      <c r="P3" s="137"/>
    </row>
    <row r="4" spans="1:16" x14ac:dyDescent="0.25">
      <c r="A4" s="3" t="s">
        <v>2</v>
      </c>
      <c r="B4" s="119" t="s">
        <v>314</v>
      </c>
      <c r="C4" s="119"/>
      <c r="D4" s="119"/>
      <c r="E4" s="119"/>
      <c r="F4" s="119"/>
      <c r="G4" s="119"/>
      <c r="H4" s="141"/>
      <c r="I4" s="142" t="s">
        <v>7</v>
      </c>
      <c r="J4" s="143"/>
      <c r="K4" s="144">
        <v>12</v>
      </c>
      <c r="L4" s="145"/>
      <c r="M4" s="33" t="s">
        <v>10</v>
      </c>
      <c r="N4" s="34" t="s">
        <v>76</v>
      </c>
      <c r="O4" s="143" t="s">
        <v>11</v>
      </c>
      <c r="P4" s="146"/>
    </row>
    <row r="5" spans="1:16" ht="15.75" thickBot="1" x14ac:dyDescent="0.3">
      <c r="A5" s="4" t="s">
        <v>480</v>
      </c>
      <c r="B5" s="71" t="s">
        <v>542</v>
      </c>
      <c r="C5" s="5" t="s">
        <v>481</v>
      </c>
      <c r="D5" s="70" t="s">
        <v>543</v>
      </c>
      <c r="E5" s="74"/>
      <c r="F5" s="5" t="s">
        <v>12</v>
      </c>
      <c r="G5" s="147">
        <v>243785858</v>
      </c>
      <c r="H5" s="126"/>
      <c r="I5" s="107" t="s">
        <v>8</v>
      </c>
      <c r="J5" s="108"/>
      <c r="K5" s="148">
        <v>200</v>
      </c>
      <c r="L5" s="149"/>
      <c r="M5" s="36">
        <v>100</v>
      </c>
      <c r="N5" s="35"/>
      <c r="O5" s="148"/>
      <c r="P5" s="149"/>
    </row>
    <row r="6" spans="1:16" ht="15.75" thickBot="1" x14ac:dyDescent="0.3">
      <c r="A6" s="12"/>
      <c r="B6" s="12"/>
      <c r="C6" s="12"/>
      <c r="D6" s="12"/>
      <c r="E6" s="12"/>
      <c r="F6" s="12"/>
      <c r="G6" s="12"/>
      <c r="H6" s="12"/>
      <c r="I6" s="12"/>
      <c r="J6" s="12"/>
      <c r="K6" s="12"/>
      <c r="L6" s="12"/>
      <c r="M6" s="12"/>
      <c r="N6" s="12"/>
      <c r="O6" s="12"/>
      <c r="P6" s="12"/>
    </row>
    <row r="7" spans="1:16" ht="15.75" thickBot="1" x14ac:dyDescent="0.3">
      <c r="A7" s="138" t="s">
        <v>31</v>
      </c>
      <c r="B7" s="139"/>
      <c r="C7" s="131"/>
      <c r="D7" s="131"/>
      <c r="E7" s="131"/>
      <c r="F7" s="131"/>
      <c r="G7" s="139" t="s">
        <v>32</v>
      </c>
      <c r="H7" s="139"/>
      <c r="I7" s="140"/>
      <c r="J7" s="140"/>
      <c r="K7" s="140"/>
      <c r="L7" s="139" t="s">
        <v>33</v>
      </c>
      <c r="M7" s="139"/>
      <c r="N7" s="131"/>
      <c r="O7" s="131"/>
      <c r="P7" s="132"/>
    </row>
    <row r="8" spans="1:16" ht="15.75" thickBot="1" x14ac:dyDescent="0.3">
      <c r="A8" s="133"/>
      <c r="B8" s="133"/>
      <c r="C8" s="133"/>
      <c r="D8" s="133"/>
      <c r="E8" s="133"/>
      <c r="F8" s="133"/>
      <c r="G8" s="133"/>
      <c r="H8" s="133"/>
      <c r="I8" s="133"/>
      <c r="J8" s="133"/>
      <c r="K8" s="133"/>
      <c r="L8" s="133"/>
      <c r="M8" s="133"/>
      <c r="N8" s="133"/>
      <c r="O8" s="133"/>
      <c r="P8" s="133"/>
    </row>
    <row r="9" spans="1:16" ht="15.75" thickBot="1" x14ac:dyDescent="0.3">
      <c r="A9" s="111" t="s">
        <v>13</v>
      </c>
      <c r="B9" s="112"/>
      <c r="C9" s="112"/>
      <c r="D9" s="112"/>
      <c r="E9" s="112"/>
      <c r="F9" s="112"/>
      <c r="G9" s="112"/>
      <c r="H9" s="112"/>
      <c r="I9" s="112"/>
      <c r="J9" s="112"/>
      <c r="K9" s="112"/>
      <c r="L9" s="112"/>
      <c r="M9" s="112"/>
      <c r="N9" s="112"/>
      <c r="O9" s="112"/>
      <c r="P9" s="113"/>
    </row>
    <row r="10" spans="1:16" s="6" customFormat="1" x14ac:dyDescent="0.25">
      <c r="A10" s="134" t="s">
        <v>1</v>
      </c>
      <c r="B10" s="135"/>
      <c r="C10" s="135" t="s">
        <v>3</v>
      </c>
      <c r="D10" s="135"/>
      <c r="E10" s="135" t="s">
        <v>4</v>
      </c>
      <c r="F10" s="135"/>
      <c r="G10" s="104" t="s">
        <v>20</v>
      </c>
      <c r="H10" s="105"/>
      <c r="I10" s="104" t="s">
        <v>21</v>
      </c>
      <c r="J10" s="136"/>
      <c r="K10" s="102" t="s">
        <v>5</v>
      </c>
      <c r="L10" s="102"/>
      <c r="M10" s="102"/>
      <c r="N10" s="102"/>
      <c r="O10" s="102"/>
      <c r="P10" s="137"/>
    </row>
    <row r="11" spans="1:16" x14ac:dyDescent="0.25">
      <c r="A11" s="118" t="s">
        <v>333</v>
      </c>
      <c r="B11" s="119"/>
      <c r="C11" s="119"/>
      <c r="D11" s="119"/>
      <c r="E11" s="119" t="s">
        <v>339</v>
      </c>
      <c r="F11" s="119"/>
      <c r="G11" s="120">
        <v>243783953</v>
      </c>
      <c r="H11" s="121"/>
      <c r="I11" s="120"/>
      <c r="J11" s="122"/>
      <c r="K11" s="129" t="s">
        <v>315</v>
      </c>
      <c r="L11" s="129"/>
      <c r="M11" s="129"/>
      <c r="N11" s="129"/>
      <c r="O11" s="129"/>
      <c r="P11" s="130"/>
    </row>
    <row r="12" spans="1:16" x14ac:dyDescent="0.25">
      <c r="A12" s="118"/>
      <c r="B12" s="119"/>
      <c r="C12" s="119"/>
      <c r="D12" s="119"/>
      <c r="E12" s="119"/>
      <c r="F12" s="119"/>
      <c r="G12" s="120"/>
      <c r="H12" s="121"/>
      <c r="I12" s="120"/>
      <c r="J12" s="122"/>
      <c r="K12" s="123"/>
      <c r="L12" s="123"/>
      <c r="M12" s="123"/>
      <c r="N12" s="123"/>
      <c r="O12" s="123"/>
      <c r="P12" s="124"/>
    </row>
    <row r="13" spans="1:16" x14ac:dyDescent="0.25">
      <c r="A13" s="118"/>
      <c r="B13" s="119"/>
      <c r="C13" s="119"/>
      <c r="D13" s="119"/>
      <c r="E13" s="119"/>
      <c r="F13" s="119"/>
      <c r="G13" s="120"/>
      <c r="H13" s="121"/>
      <c r="I13" s="120"/>
      <c r="J13" s="122"/>
      <c r="K13" s="123"/>
      <c r="L13" s="123"/>
      <c r="M13" s="123"/>
      <c r="N13" s="123"/>
      <c r="O13" s="123"/>
      <c r="P13" s="124"/>
    </row>
    <row r="14" spans="1:16" x14ac:dyDescent="0.25">
      <c r="A14" s="118"/>
      <c r="B14" s="119"/>
      <c r="C14" s="119"/>
      <c r="D14" s="119"/>
      <c r="E14" s="119"/>
      <c r="F14" s="119"/>
      <c r="G14" s="120"/>
      <c r="H14" s="121"/>
      <c r="I14" s="120"/>
      <c r="J14" s="122"/>
      <c r="K14" s="123"/>
      <c r="L14" s="123"/>
      <c r="M14" s="123"/>
      <c r="N14" s="123"/>
      <c r="O14" s="123"/>
      <c r="P14" s="124"/>
    </row>
    <row r="15" spans="1:16" x14ac:dyDescent="0.25">
      <c r="A15" s="118"/>
      <c r="B15" s="119"/>
      <c r="C15" s="119"/>
      <c r="D15" s="119"/>
      <c r="E15" s="119"/>
      <c r="F15" s="119"/>
      <c r="G15" s="120"/>
      <c r="H15" s="121"/>
      <c r="I15" s="120"/>
      <c r="J15" s="122"/>
      <c r="K15" s="123"/>
      <c r="L15" s="123"/>
      <c r="M15" s="123"/>
      <c r="N15" s="123"/>
      <c r="O15" s="123"/>
      <c r="P15" s="124"/>
    </row>
    <row r="16" spans="1:16" ht="15.75" thickBot="1" x14ac:dyDescent="0.3">
      <c r="A16" s="125"/>
      <c r="B16" s="109"/>
      <c r="C16" s="109"/>
      <c r="D16" s="109"/>
      <c r="E16" s="109"/>
      <c r="F16" s="109"/>
      <c r="G16" s="126"/>
      <c r="H16" s="127"/>
      <c r="I16" s="126"/>
      <c r="J16" s="128"/>
      <c r="K16" s="116"/>
      <c r="L16" s="116"/>
      <c r="M16" s="116"/>
      <c r="N16" s="116"/>
      <c r="O16" s="116"/>
      <c r="P16" s="117"/>
    </row>
    <row r="17" spans="1:17" ht="15.75" thickBot="1" x14ac:dyDescent="0.3">
      <c r="A17" s="100"/>
      <c r="B17" s="100"/>
      <c r="C17" s="100"/>
      <c r="D17" s="100"/>
      <c r="E17" s="100"/>
      <c r="F17" s="100"/>
      <c r="G17" s="100"/>
      <c r="H17" s="100"/>
      <c r="I17" s="100"/>
      <c r="J17" s="100"/>
      <c r="K17" s="100"/>
      <c r="L17" s="100"/>
      <c r="M17" s="100"/>
      <c r="N17" s="100"/>
      <c r="O17" s="100"/>
      <c r="P17" s="100"/>
    </row>
    <row r="18" spans="1:17" x14ac:dyDescent="0.25">
      <c r="A18" s="101" t="s">
        <v>23</v>
      </c>
      <c r="B18" s="102"/>
      <c r="C18" s="102"/>
      <c r="D18" s="103"/>
      <c r="E18" s="103"/>
      <c r="F18" s="103"/>
      <c r="G18" s="103"/>
      <c r="H18" s="103"/>
      <c r="I18" s="103"/>
      <c r="J18" s="104" t="s">
        <v>25</v>
      </c>
      <c r="K18" s="105"/>
      <c r="L18" s="103"/>
      <c r="M18" s="103"/>
      <c r="N18" s="103"/>
      <c r="O18" s="103"/>
      <c r="P18" s="106"/>
    </row>
    <row r="19" spans="1:17" ht="15.75" thickBot="1" x14ac:dyDescent="0.3">
      <c r="A19" s="107" t="s">
        <v>24</v>
      </c>
      <c r="B19" s="108"/>
      <c r="C19" s="108"/>
      <c r="D19" s="109"/>
      <c r="E19" s="109"/>
      <c r="F19" s="109"/>
      <c r="G19" s="109"/>
      <c r="H19" s="109"/>
      <c r="I19" s="109"/>
      <c r="J19" s="108" t="s">
        <v>26</v>
      </c>
      <c r="K19" s="108"/>
      <c r="L19" s="109"/>
      <c r="M19" s="109"/>
      <c r="N19" s="109"/>
      <c r="O19" s="109"/>
      <c r="P19" s="110"/>
    </row>
    <row r="20" spans="1:17" ht="15.75" thickBot="1" x14ac:dyDescent="0.3">
      <c r="A20" s="100"/>
      <c r="B20" s="100"/>
      <c r="C20" s="100"/>
      <c r="D20" s="100"/>
      <c r="E20" s="100"/>
      <c r="F20" s="100"/>
      <c r="G20" s="100"/>
      <c r="H20" s="100"/>
      <c r="I20" s="100"/>
      <c r="J20" s="100"/>
      <c r="K20" s="100"/>
      <c r="L20" s="100"/>
      <c r="M20" s="100"/>
      <c r="N20" s="100"/>
      <c r="O20" s="100"/>
      <c r="P20" s="100"/>
    </row>
    <row r="21" spans="1:17" ht="15.75" thickBot="1" x14ac:dyDescent="0.3">
      <c r="A21" s="111" t="s">
        <v>27</v>
      </c>
      <c r="B21" s="112"/>
      <c r="C21" s="112" t="s">
        <v>28</v>
      </c>
      <c r="D21" s="112"/>
      <c r="E21" s="112"/>
      <c r="F21" s="112"/>
      <c r="G21" s="112"/>
      <c r="H21" s="112"/>
      <c r="I21" s="112"/>
      <c r="J21" s="112"/>
      <c r="K21" s="112"/>
      <c r="L21" s="112"/>
      <c r="M21" s="112"/>
      <c r="N21" s="112"/>
      <c r="O21" s="112"/>
      <c r="P21" s="113"/>
      <c r="Q21" s="7"/>
    </row>
    <row r="22" spans="1:17" ht="30" customHeight="1" x14ac:dyDescent="0.25">
      <c r="A22" s="114">
        <v>42129</v>
      </c>
      <c r="B22" s="115"/>
      <c r="C22" s="91" t="s">
        <v>338</v>
      </c>
      <c r="D22" s="91"/>
      <c r="E22" s="91"/>
      <c r="F22" s="91"/>
      <c r="G22" s="91"/>
      <c r="H22" s="91"/>
      <c r="I22" s="91"/>
      <c r="J22" s="91"/>
      <c r="K22" s="91"/>
      <c r="L22" s="91"/>
      <c r="M22" s="91"/>
      <c r="N22" s="91"/>
      <c r="O22" s="91"/>
      <c r="P22" s="92"/>
      <c r="Q22" s="7"/>
    </row>
    <row r="23" spans="1:17" ht="30" customHeight="1" x14ac:dyDescent="0.25">
      <c r="A23" s="89"/>
      <c r="B23" s="90"/>
      <c r="C23" s="97"/>
      <c r="D23" s="98"/>
      <c r="E23" s="98"/>
      <c r="F23" s="98"/>
      <c r="G23" s="98"/>
      <c r="H23" s="98"/>
      <c r="I23" s="98"/>
      <c r="J23" s="98"/>
      <c r="K23" s="98"/>
      <c r="L23" s="98"/>
      <c r="M23" s="98"/>
      <c r="N23" s="98"/>
      <c r="O23" s="98"/>
      <c r="P23" s="99"/>
      <c r="Q23" s="7"/>
    </row>
    <row r="24" spans="1:17" ht="30" customHeight="1" x14ac:dyDescent="0.25">
      <c r="A24" s="89"/>
      <c r="B24" s="90"/>
      <c r="C24" s="91"/>
      <c r="D24" s="91"/>
      <c r="E24" s="91"/>
      <c r="F24" s="91"/>
      <c r="G24" s="91"/>
      <c r="H24" s="91"/>
      <c r="I24" s="91"/>
      <c r="J24" s="91"/>
      <c r="K24" s="91"/>
      <c r="L24" s="91"/>
      <c r="M24" s="91"/>
      <c r="N24" s="91"/>
      <c r="O24" s="91"/>
      <c r="P24" s="92"/>
      <c r="Q24" s="7"/>
    </row>
    <row r="25" spans="1:17" ht="30" customHeight="1" x14ac:dyDescent="0.25">
      <c r="A25" s="89"/>
      <c r="B25" s="90"/>
      <c r="C25" s="91"/>
      <c r="D25" s="91"/>
      <c r="E25" s="91"/>
      <c r="F25" s="91"/>
      <c r="G25" s="91"/>
      <c r="H25" s="91"/>
      <c r="I25" s="91"/>
      <c r="J25" s="91"/>
      <c r="K25" s="91"/>
      <c r="L25" s="91"/>
      <c r="M25" s="91"/>
      <c r="N25" s="91"/>
      <c r="O25" s="91"/>
      <c r="P25" s="92"/>
    </row>
    <row r="26" spans="1:17" ht="30" customHeight="1" thickBot="1" x14ac:dyDescent="0.3">
      <c r="A26" s="93"/>
      <c r="B26" s="94"/>
      <c r="C26" s="95"/>
      <c r="D26" s="95"/>
      <c r="E26" s="95"/>
      <c r="F26" s="95"/>
      <c r="G26" s="95"/>
      <c r="H26" s="95"/>
      <c r="I26" s="95"/>
      <c r="J26" s="95"/>
      <c r="K26" s="95"/>
      <c r="L26" s="95"/>
      <c r="M26" s="95"/>
      <c r="N26" s="95"/>
      <c r="O26" s="95"/>
      <c r="P26" s="96"/>
    </row>
  </sheetData>
  <mergeCells count="86">
    <mergeCell ref="A1:P1"/>
    <mergeCell ref="A2:P2"/>
    <mergeCell ref="B3:H3"/>
    <mergeCell ref="I3:J3"/>
    <mergeCell ref="K3:L3"/>
    <mergeCell ref="M3:P3"/>
    <mergeCell ref="N7:P7"/>
    <mergeCell ref="B4:H4"/>
    <mergeCell ref="I4:J4"/>
    <mergeCell ref="K4:L4"/>
    <mergeCell ref="O4:P4"/>
    <mergeCell ref="G5:H5"/>
    <mergeCell ref="I5:J5"/>
    <mergeCell ref="K5:L5"/>
    <mergeCell ref="O5:P5"/>
    <mergeCell ref="A7:B7"/>
    <mergeCell ref="C7:F7"/>
    <mergeCell ref="G7:H7"/>
    <mergeCell ref="I7:K7"/>
    <mergeCell ref="L7:M7"/>
    <mergeCell ref="A8:P8"/>
    <mergeCell ref="A9:P9"/>
    <mergeCell ref="A10:B10"/>
    <mergeCell ref="C10:D10"/>
    <mergeCell ref="E10:F10"/>
    <mergeCell ref="G10:H10"/>
    <mergeCell ref="I10:J10"/>
    <mergeCell ref="K10:P10"/>
    <mergeCell ref="K12:P12"/>
    <mergeCell ref="A11:B11"/>
    <mergeCell ref="C11:D11"/>
    <mergeCell ref="E11:F11"/>
    <mergeCell ref="G11:H11"/>
    <mergeCell ref="I11:J11"/>
    <mergeCell ref="K11:P11"/>
    <mergeCell ref="A12:B12"/>
    <mergeCell ref="C12:D12"/>
    <mergeCell ref="E12:F12"/>
    <mergeCell ref="G12:H12"/>
    <mergeCell ref="I12:J12"/>
    <mergeCell ref="K14:P14"/>
    <mergeCell ref="A13:B13"/>
    <mergeCell ref="C13:D13"/>
    <mergeCell ref="E13:F13"/>
    <mergeCell ref="G13:H13"/>
    <mergeCell ref="I13:J13"/>
    <mergeCell ref="K13:P13"/>
    <mergeCell ref="A14:B14"/>
    <mergeCell ref="C14:D14"/>
    <mergeCell ref="E14:F14"/>
    <mergeCell ref="G14:H14"/>
    <mergeCell ref="I14:J14"/>
    <mergeCell ref="K16:P16"/>
    <mergeCell ref="A15:B15"/>
    <mergeCell ref="C15:D15"/>
    <mergeCell ref="E15:F15"/>
    <mergeCell ref="G15:H15"/>
    <mergeCell ref="I15:J15"/>
    <mergeCell ref="K15:P15"/>
    <mergeCell ref="A16:B16"/>
    <mergeCell ref="C16:D16"/>
    <mergeCell ref="E16:F16"/>
    <mergeCell ref="G16:H16"/>
    <mergeCell ref="I16:J16"/>
    <mergeCell ref="A23:B23"/>
    <mergeCell ref="C23:P23"/>
    <mergeCell ref="A17:P17"/>
    <mergeCell ref="A18:C18"/>
    <mergeCell ref="D18:I18"/>
    <mergeCell ref="J18:K18"/>
    <mergeCell ref="L18:P18"/>
    <mergeCell ref="A19:C19"/>
    <mergeCell ref="D19:I19"/>
    <mergeCell ref="J19:K19"/>
    <mergeCell ref="L19:P19"/>
    <mergeCell ref="A20:P20"/>
    <mergeCell ref="A21:B21"/>
    <mergeCell ref="C21:P21"/>
    <mergeCell ref="A22:B22"/>
    <mergeCell ref="C22:P22"/>
    <mergeCell ref="A24:B24"/>
    <mergeCell ref="C24:P24"/>
    <mergeCell ref="A25:B25"/>
    <mergeCell ref="C25:P25"/>
    <mergeCell ref="A26:B26"/>
    <mergeCell ref="C26:P26"/>
  </mergeCells>
  <hyperlinks>
    <hyperlink ref="K11" r:id="rId1"/>
  </hyperlinks>
  <pageMargins left="0.25" right="0.25" top="0.75" bottom="0.75" header="0.3" footer="0.3"/>
  <pageSetup paperSize="9" orientation="landscape" horizontalDpi="0" verticalDpi="0"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5"/>
  <dimension ref="A1:Q26"/>
  <sheetViews>
    <sheetView tabSelected="1" zoomScale="115" zoomScaleNormal="115" workbookViewId="0">
      <selection activeCell="M5" sqref="M5:N5"/>
    </sheetView>
  </sheetViews>
  <sheetFormatPr baseColWidth="10" defaultColWidth="9.140625" defaultRowHeight="15" x14ac:dyDescent="0.25"/>
  <cols>
    <col min="1" max="16" width="8.7109375" style="1" customWidth="1"/>
    <col min="17" max="16384" width="9.140625" style="1"/>
  </cols>
  <sheetData>
    <row r="1" spans="1:16" ht="28.5" x14ac:dyDescent="0.25">
      <c r="A1" s="150" t="s">
        <v>316</v>
      </c>
      <c r="B1" s="150"/>
      <c r="C1" s="150"/>
      <c r="D1" s="150"/>
      <c r="E1" s="150"/>
      <c r="F1" s="150"/>
      <c r="G1" s="150"/>
      <c r="H1" s="150"/>
      <c r="I1" s="150"/>
      <c r="J1" s="150"/>
      <c r="K1" s="150"/>
      <c r="L1" s="150"/>
      <c r="M1" s="150"/>
      <c r="N1" s="150"/>
      <c r="O1" s="150"/>
      <c r="P1" s="150"/>
    </row>
    <row r="2" spans="1:16" ht="23.25" customHeight="1" thickBot="1" x14ac:dyDescent="0.3">
      <c r="A2" s="151"/>
      <c r="B2" s="151"/>
      <c r="C2" s="151"/>
      <c r="D2" s="151"/>
      <c r="E2" s="151"/>
      <c r="F2" s="151"/>
      <c r="G2" s="151"/>
      <c r="H2" s="151"/>
      <c r="I2" s="151"/>
      <c r="J2" s="151"/>
      <c r="K2" s="151"/>
      <c r="L2" s="151"/>
      <c r="M2" s="151"/>
      <c r="N2" s="151"/>
      <c r="O2" s="151"/>
      <c r="P2" s="151"/>
    </row>
    <row r="3" spans="1:16" x14ac:dyDescent="0.25">
      <c r="A3" s="2" t="s">
        <v>1</v>
      </c>
      <c r="B3" s="103" t="s">
        <v>317</v>
      </c>
      <c r="C3" s="103"/>
      <c r="D3" s="103"/>
      <c r="E3" s="103"/>
      <c r="F3" s="103"/>
      <c r="G3" s="103"/>
      <c r="H3" s="152"/>
      <c r="I3" s="101" t="s">
        <v>6</v>
      </c>
      <c r="J3" s="102"/>
      <c r="K3" s="153">
        <v>3</v>
      </c>
      <c r="L3" s="154"/>
      <c r="M3" s="101" t="s">
        <v>9</v>
      </c>
      <c r="N3" s="102"/>
      <c r="O3" s="102"/>
      <c r="P3" s="137"/>
    </row>
    <row r="4" spans="1:16" x14ac:dyDescent="0.25">
      <c r="A4" s="3" t="s">
        <v>2</v>
      </c>
      <c r="B4" s="119" t="s">
        <v>328</v>
      </c>
      <c r="C4" s="119"/>
      <c r="D4" s="119"/>
      <c r="E4" s="119"/>
      <c r="F4" s="119"/>
      <c r="G4" s="119"/>
      <c r="H4" s="141"/>
      <c r="I4" s="142" t="s">
        <v>7</v>
      </c>
      <c r="J4" s="143"/>
      <c r="K4" s="144">
        <v>32</v>
      </c>
      <c r="L4" s="145"/>
      <c r="M4" s="33" t="s">
        <v>10</v>
      </c>
      <c r="N4" s="34" t="s">
        <v>76</v>
      </c>
      <c r="O4" s="143" t="s">
        <v>11</v>
      </c>
      <c r="P4" s="146"/>
    </row>
    <row r="5" spans="1:16" ht="15.75" thickBot="1" x14ac:dyDescent="0.3">
      <c r="A5" s="4" t="s">
        <v>480</v>
      </c>
      <c r="B5" s="71" t="s">
        <v>544</v>
      </c>
      <c r="C5" s="5" t="s">
        <v>481</v>
      </c>
      <c r="D5" s="70" t="s">
        <v>545</v>
      </c>
      <c r="E5" s="74"/>
      <c r="F5" s="5" t="s">
        <v>12</v>
      </c>
      <c r="G5" s="147">
        <v>321691234</v>
      </c>
      <c r="H5" s="126"/>
      <c r="I5" s="107" t="s">
        <v>8</v>
      </c>
      <c r="J5" s="108"/>
      <c r="K5" s="148"/>
      <c r="L5" s="149"/>
      <c r="M5" s="36"/>
      <c r="N5" s="35"/>
      <c r="O5" s="148">
        <v>344</v>
      </c>
      <c r="P5" s="149"/>
    </row>
    <row r="6" spans="1:16" ht="15.75" thickBot="1" x14ac:dyDescent="0.3">
      <c r="A6" s="12"/>
      <c r="B6" s="12"/>
      <c r="C6" s="12"/>
      <c r="D6" s="12"/>
      <c r="E6" s="12"/>
      <c r="F6" s="12"/>
      <c r="G6" s="12"/>
      <c r="H6" s="12"/>
      <c r="I6" s="12"/>
      <c r="J6" s="12"/>
      <c r="K6" s="12"/>
      <c r="L6" s="12"/>
      <c r="M6" s="12"/>
      <c r="N6" s="12"/>
      <c r="O6" s="12"/>
      <c r="P6" s="12"/>
    </row>
    <row r="7" spans="1:16" ht="15.75" thickBot="1" x14ac:dyDescent="0.3">
      <c r="A7" s="138" t="s">
        <v>31</v>
      </c>
      <c r="B7" s="139"/>
      <c r="C7" s="131"/>
      <c r="D7" s="131"/>
      <c r="E7" s="131"/>
      <c r="F7" s="131"/>
      <c r="G7" s="139" t="s">
        <v>32</v>
      </c>
      <c r="H7" s="139"/>
      <c r="I7" s="140"/>
      <c r="J7" s="140"/>
      <c r="K7" s="140"/>
      <c r="L7" s="139" t="s">
        <v>33</v>
      </c>
      <c r="M7" s="139"/>
      <c r="N7" s="131"/>
      <c r="O7" s="131"/>
      <c r="P7" s="132"/>
    </row>
    <row r="8" spans="1:16" ht="15.75" thickBot="1" x14ac:dyDescent="0.3">
      <c r="A8" s="133"/>
      <c r="B8" s="133"/>
      <c r="C8" s="133"/>
      <c r="D8" s="133"/>
      <c r="E8" s="133"/>
      <c r="F8" s="133"/>
      <c r="G8" s="133"/>
      <c r="H8" s="133"/>
      <c r="I8" s="133"/>
      <c r="J8" s="133"/>
      <c r="K8" s="133"/>
      <c r="L8" s="133"/>
      <c r="M8" s="133"/>
      <c r="N8" s="133"/>
      <c r="O8" s="133"/>
      <c r="P8" s="133"/>
    </row>
    <row r="9" spans="1:16" ht="15.75" thickBot="1" x14ac:dyDescent="0.3">
      <c r="A9" s="111" t="s">
        <v>13</v>
      </c>
      <c r="B9" s="112"/>
      <c r="C9" s="112"/>
      <c r="D9" s="112"/>
      <c r="E9" s="112"/>
      <c r="F9" s="112"/>
      <c r="G9" s="112"/>
      <c r="H9" s="112"/>
      <c r="I9" s="112"/>
      <c r="J9" s="112"/>
      <c r="K9" s="112"/>
      <c r="L9" s="112"/>
      <c r="M9" s="112"/>
      <c r="N9" s="112"/>
      <c r="O9" s="112"/>
      <c r="P9" s="113"/>
    </row>
    <row r="10" spans="1:16" s="6" customFormat="1" x14ac:dyDescent="0.25">
      <c r="A10" s="134" t="s">
        <v>1</v>
      </c>
      <c r="B10" s="135"/>
      <c r="C10" s="135" t="s">
        <v>3</v>
      </c>
      <c r="D10" s="135"/>
      <c r="E10" s="135" t="s">
        <v>4</v>
      </c>
      <c r="F10" s="135"/>
      <c r="G10" s="104" t="s">
        <v>20</v>
      </c>
      <c r="H10" s="105"/>
      <c r="I10" s="104" t="s">
        <v>21</v>
      </c>
      <c r="J10" s="136"/>
      <c r="K10" s="102" t="s">
        <v>5</v>
      </c>
      <c r="L10" s="102"/>
      <c r="M10" s="102"/>
      <c r="N10" s="102"/>
      <c r="O10" s="102"/>
      <c r="P10" s="137"/>
    </row>
    <row r="11" spans="1:16" x14ac:dyDescent="0.25">
      <c r="A11" s="118" t="s">
        <v>318</v>
      </c>
      <c r="B11" s="119"/>
      <c r="C11" s="119" t="s">
        <v>319</v>
      </c>
      <c r="D11" s="119"/>
      <c r="E11" s="119" t="s">
        <v>71</v>
      </c>
      <c r="F11" s="119"/>
      <c r="G11" s="120">
        <v>321691378</v>
      </c>
      <c r="H11" s="121"/>
      <c r="I11" s="120"/>
      <c r="J11" s="122"/>
      <c r="K11" s="129" t="s">
        <v>320</v>
      </c>
      <c r="L11" s="129"/>
      <c r="M11" s="129"/>
      <c r="N11" s="129"/>
      <c r="O11" s="129"/>
      <c r="P11" s="130"/>
    </row>
    <row r="12" spans="1:16" x14ac:dyDescent="0.25">
      <c r="A12" s="118" t="s">
        <v>321</v>
      </c>
      <c r="B12" s="119"/>
      <c r="C12" s="119" t="s">
        <v>322</v>
      </c>
      <c r="D12" s="119"/>
      <c r="E12" s="119" t="s">
        <v>71</v>
      </c>
      <c r="F12" s="119"/>
      <c r="G12" s="120" t="s">
        <v>95</v>
      </c>
      <c r="H12" s="121"/>
      <c r="I12" s="120"/>
      <c r="J12" s="122"/>
      <c r="K12" s="158" t="s">
        <v>329</v>
      </c>
      <c r="L12" s="123"/>
      <c r="M12" s="123"/>
      <c r="N12" s="123"/>
      <c r="O12" s="123"/>
      <c r="P12" s="124"/>
    </row>
    <row r="13" spans="1:16" x14ac:dyDescent="0.25">
      <c r="A13" s="118"/>
      <c r="B13" s="119"/>
      <c r="C13" s="119"/>
      <c r="D13" s="119"/>
      <c r="E13" s="119"/>
      <c r="F13" s="119"/>
      <c r="G13" s="120"/>
      <c r="H13" s="121"/>
      <c r="I13" s="120"/>
      <c r="J13" s="122"/>
      <c r="K13" s="123"/>
      <c r="L13" s="123"/>
      <c r="M13" s="123"/>
      <c r="N13" s="123"/>
      <c r="O13" s="123"/>
      <c r="P13" s="124"/>
    </row>
    <row r="14" spans="1:16" x14ac:dyDescent="0.25">
      <c r="A14" s="118"/>
      <c r="B14" s="119"/>
      <c r="C14" s="119"/>
      <c r="D14" s="119"/>
      <c r="E14" s="119"/>
      <c r="F14" s="119"/>
      <c r="G14" s="120"/>
      <c r="H14" s="121"/>
      <c r="I14" s="120"/>
      <c r="J14" s="122"/>
      <c r="K14" s="123"/>
      <c r="L14" s="123"/>
      <c r="M14" s="123"/>
      <c r="N14" s="123"/>
      <c r="O14" s="123"/>
      <c r="P14" s="124"/>
    </row>
    <row r="15" spans="1:16" x14ac:dyDescent="0.25">
      <c r="A15" s="118"/>
      <c r="B15" s="119"/>
      <c r="C15" s="119"/>
      <c r="D15" s="119"/>
      <c r="E15" s="119"/>
      <c r="F15" s="119"/>
      <c r="G15" s="120"/>
      <c r="H15" s="121"/>
      <c r="I15" s="120"/>
      <c r="J15" s="122"/>
      <c r="K15" s="123"/>
      <c r="L15" s="123"/>
      <c r="M15" s="123"/>
      <c r="N15" s="123"/>
      <c r="O15" s="123"/>
      <c r="P15" s="124"/>
    </row>
    <row r="16" spans="1:16" ht="15.75" thickBot="1" x14ac:dyDescent="0.3">
      <c r="A16" s="125"/>
      <c r="B16" s="109"/>
      <c r="C16" s="109"/>
      <c r="D16" s="109"/>
      <c r="E16" s="109"/>
      <c r="F16" s="109"/>
      <c r="G16" s="126"/>
      <c r="H16" s="127"/>
      <c r="I16" s="126"/>
      <c r="J16" s="128"/>
      <c r="K16" s="116"/>
      <c r="L16" s="116"/>
      <c r="M16" s="116"/>
      <c r="N16" s="116"/>
      <c r="O16" s="116"/>
      <c r="P16" s="117"/>
    </row>
    <row r="17" spans="1:17" ht="15.75" thickBot="1" x14ac:dyDescent="0.3">
      <c r="A17" s="100"/>
      <c r="B17" s="100"/>
      <c r="C17" s="100"/>
      <c r="D17" s="100"/>
      <c r="E17" s="100"/>
      <c r="F17" s="100"/>
      <c r="G17" s="100"/>
      <c r="H17" s="100"/>
      <c r="I17" s="100"/>
      <c r="J17" s="100"/>
      <c r="K17" s="100"/>
      <c r="L17" s="100"/>
      <c r="M17" s="100"/>
      <c r="N17" s="100"/>
      <c r="O17" s="100"/>
      <c r="P17" s="100"/>
    </row>
    <row r="18" spans="1:17" x14ac:dyDescent="0.25">
      <c r="A18" s="101" t="s">
        <v>23</v>
      </c>
      <c r="B18" s="102"/>
      <c r="C18" s="102"/>
      <c r="D18" s="103"/>
      <c r="E18" s="103"/>
      <c r="F18" s="103"/>
      <c r="G18" s="103"/>
      <c r="H18" s="103"/>
      <c r="I18" s="103"/>
      <c r="J18" s="104" t="s">
        <v>25</v>
      </c>
      <c r="K18" s="105"/>
      <c r="L18" s="103"/>
      <c r="M18" s="103"/>
      <c r="N18" s="103"/>
      <c r="O18" s="103"/>
      <c r="P18" s="106"/>
    </row>
    <row r="19" spans="1:17" ht="15.75" thickBot="1" x14ac:dyDescent="0.3">
      <c r="A19" s="107" t="s">
        <v>24</v>
      </c>
      <c r="B19" s="108"/>
      <c r="C19" s="108"/>
      <c r="D19" s="109"/>
      <c r="E19" s="109"/>
      <c r="F19" s="109"/>
      <c r="G19" s="109"/>
      <c r="H19" s="109"/>
      <c r="I19" s="109"/>
      <c r="J19" s="108" t="s">
        <v>26</v>
      </c>
      <c r="K19" s="108"/>
      <c r="L19" s="109"/>
      <c r="M19" s="109"/>
      <c r="N19" s="109"/>
      <c r="O19" s="109"/>
      <c r="P19" s="110"/>
    </row>
    <row r="20" spans="1:17" ht="15.75" thickBot="1" x14ac:dyDescent="0.3">
      <c r="A20" s="100"/>
      <c r="B20" s="100"/>
      <c r="C20" s="100"/>
      <c r="D20" s="100"/>
      <c r="E20" s="100"/>
      <c r="F20" s="100"/>
      <c r="G20" s="100"/>
      <c r="H20" s="100"/>
      <c r="I20" s="100"/>
      <c r="J20" s="100"/>
      <c r="K20" s="100"/>
      <c r="L20" s="100"/>
      <c r="M20" s="100"/>
      <c r="N20" s="100"/>
      <c r="O20" s="100"/>
      <c r="P20" s="100"/>
    </row>
    <row r="21" spans="1:17" ht="15.75" thickBot="1" x14ac:dyDescent="0.3">
      <c r="A21" s="111" t="s">
        <v>27</v>
      </c>
      <c r="B21" s="112"/>
      <c r="C21" s="112" t="s">
        <v>28</v>
      </c>
      <c r="D21" s="112"/>
      <c r="E21" s="112"/>
      <c r="F21" s="112"/>
      <c r="G21" s="112"/>
      <c r="H21" s="112"/>
      <c r="I21" s="112"/>
      <c r="J21" s="112"/>
      <c r="K21" s="112"/>
      <c r="L21" s="112"/>
      <c r="M21" s="112"/>
      <c r="N21" s="112"/>
      <c r="O21" s="112"/>
      <c r="P21" s="113"/>
      <c r="Q21" s="7"/>
    </row>
    <row r="22" spans="1:17" ht="30" customHeight="1" x14ac:dyDescent="0.25">
      <c r="A22" s="114">
        <v>42129</v>
      </c>
      <c r="B22" s="115"/>
      <c r="C22" s="91" t="s">
        <v>330</v>
      </c>
      <c r="D22" s="91"/>
      <c r="E22" s="91"/>
      <c r="F22" s="91"/>
      <c r="G22" s="91"/>
      <c r="H22" s="91"/>
      <c r="I22" s="91"/>
      <c r="J22" s="91"/>
      <c r="K22" s="91"/>
      <c r="L22" s="91"/>
      <c r="M22" s="91"/>
      <c r="N22" s="91"/>
      <c r="O22" s="91"/>
      <c r="P22" s="92"/>
      <c r="Q22" s="7"/>
    </row>
    <row r="23" spans="1:17" ht="30" customHeight="1" x14ac:dyDescent="0.25">
      <c r="A23" s="89"/>
      <c r="B23" s="90"/>
      <c r="C23" s="97"/>
      <c r="D23" s="98"/>
      <c r="E23" s="98"/>
      <c r="F23" s="98"/>
      <c r="G23" s="98"/>
      <c r="H23" s="98"/>
      <c r="I23" s="98"/>
      <c r="J23" s="98"/>
      <c r="K23" s="98"/>
      <c r="L23" s="98"/>
      <c r="M23" s="98"/>
      <c r="N23" s="98"/>
      <c r="O23" s="98"/>
      <c r="P23" s="99"/>
      <c r="Q23" s="7"/>
    </row>
    <row r="24" spans="1:17" ht="30" customHeight="1" x14ac:dyDescent="0.25">
      <c r="A24" s="89"/>
      <c r="B24" s="90"/>
      <c r="C24" s="91"/>
      <c r="D24" s="91"/>
      <c r="E24" s="91"/>
      <c r="F24" s="91"/>
      <c r="G24" s="91"/>
      <c r="H24" s="91"/>
      <c r="I24" s="91"/>
      <c r="J24" s="91"/>
      <c r="K24" s="91"/>
      <c r="L24" s="91"/>
      <c r="M24" s="91"/>
      <c r="N24" s="91"/>
      <c r="O24" s="91"/>
      <c r="P24" s="92"/>
      <c r="Q24" s="7"/>
    </row>
    <row r="25" spans="1:17" ht="30" customHeight="1" x14ac:dyDescent="0.25">
      <c r="A25" s="89"/>
      <c r="B25" s="90"/>
      <c r="C25" s="91"/>
      <c r="D25" s="91"/>
      <c r="E25" s="91"/>
      <c r="F25" s="91"/>
      <c r="G25" s="91"/>
      <c r="H25" s="91"/>
      <c r="I25" s="91"/>
      <c r="J25" s="91"/>
      <c r="K25" s="91"/>
      <c r="L25" s="91"/>
      <c r="M25" s="91"/>
      <c r="N25" s="91"/>
      <c r="O25" s="91"/>
      <c r="P25" s="92"/>
    </row>
    <row r="26" spans="1:17" ht="30" customHeight="1" thickBot="1" x14ac:dyDescent="0.3">
      <c r="A26" s="93"/>
      <c r="B26" s="94"/>
      <c r="C26" s="95"/>
      <c r="D26" s="95"/>
      <c r="E26" s="95"/>
      <c r="F26" s="95"/>
      <c r="G26" s="95"/>
      <c r="H26" s="95"/>
      <c r="I26" s="95"/>
      <c r="J26" s="95"/>
      <c r="K26" s="95"/>
      <c r="L26" s="95"/>
      <c r="M26" s="95"/>
      <c r="N26" s="95"/>
      <c r="O26" s="95"/>
      <c r="P26" s="96"/>
    </row>
  </sheetData>
  <mergeCells count="86">
    <mergeCell ref="A1:P1"/>
    <mergeCell ref="A2:P2"/>
    <mergeCell ref="B3:H3"/>
    <mergeCell ref="I3:J3"/>
    <mergeCell ref="K3:L3"/>
    <mergeCell ref="M3:P3"/>
    <mergeCell ref="N7:P7"/>
    <mergeCell ref="B4:H4"/>
    <mergeCell ref="I4:J4"/>
    <mergeCell ref="K4:L4"/>
    <mergeCell ref="O4:P4"/>
    <mergeCell ref="G5:H5"/>
    <mergeCell ref="I5:J5"/>
    <mergeCell ref="K5:L5"/>
    <mergeCell ref="O5:P5"/>
    <mergeCell ref="A7:B7"/>
    <mergeCell ref="C7:F7"/>
    <mergeCell ref="G7:H7"/>
    <mergeCell ref="I7:K7"/>
    <mergeCell ref="L7:M7"/>
    <mergeCell ref="A8:P8"/>
    <mergeCell ref="A9:P9"/>
    <mergeCell ref="A10:B10"/>
    <mergeCell ref="C10:D10"/>
    <mergeCell ref="E10:F10"/>
    <mergeCell ref="G10:H10"/>
    <mergeCell ref="I10:J10"/>
    <mergeCell ref="K10:P10"/>
    <mergeCell ref="K12:P12"/>
    <mergeCell ref="A11:B11"/>
    <mergeCell ref="C11:D11"/>
    <mergeCell ref="E11:F11"/>
    <mergeCell ref="G11:H11"/>
    <mergeCell ref="I11:J11"/>
    <mergeCell ref="K11:P11"/>
    <mergeCell ref="A12:B12"/>
    <mergeCell ref="C12:D12"/>
    <mergeCell ref="E12:F12"/>
    <mergeCell ref="G12:H12"/>
    <mergeCell ref="I12:J12"/>
    <mergeCell ref="K14:P14"/>
    <mergeCell ref="A13:B13"/>
    <mergeCell ref="C13:D13"/>
    <mergeCell ref="E13:F13"/>
    <mergeCell ref="G13:H13"/>
    <mergeCell ref="I13:J13"/>
    <mergeCell ref="K13:P13"/>
    <mergeCell ref="A14:B14"/>
    <mergeCell ref="C14:D14"/>
    <mergeCell ref="E14:F14"/>
    <mergeCell ref="G14:H14"/>
    <mergeCell ref="I14:J14"/>
    <mergeCell ref="K16:P16"/>
    <mergeCell ref="A15:B15"/>
    <mergeCell ref="C15:D15"/>
    <mergeCell ref="E15:F15"/>
    <mergeCell ref="G15:H15"/>
    <mergeCell ref="I15:J15"/>
    <mergeCell ref="K15:P15"/>
    <mergeCell ref="A16:B16"/>
    <mergeCell ref="C16:D16"/>
    <mergeCell ref="E16:F16"/>
    <mergeCell ref="G16:H16"/>
    <mergeCell ref="I16:J16"/>
    <mergeCell ref="A23:B23"/>
    <mergeCell ref="C23:P23"/>
    <mergeCell ref="A17:P17"/>
    <mergeCell ref="A18:C18"/>
    <mergeCell ref="D18:I18"/>
    <mergeCell ref="J18:K18"/>
    <mergeCell ref="L18:P18"/>
    <mergeCell ref="A19:C19"/>
    <mergeCell ref="D19:I19"/>
    <mergeCell ref="J19:K19"/>
    <mergeCell ref="L19:P19"/>
    <mergeCell ref="A20:P20"/>
    <mergeCell ref="A21:B21"/>
    <mergeCell ref="C21:P21"/>
    <mergeCell ref="A22:B22"/>
    <mergeCell ref="C22:P22"/>
    <mergeCell ref="A24:B24"/>
    <mergeCell ref="C24:P24"/>
    <mergeCell ref="A25:B25"/>
    <mergeCell ref="C25:P25"/>
    <mergeCell ref="A26:B26"/>
    <mergeCell ref="C26:P26"/>
  </mergeCells>
  <hyperlinks>
    <hyperlink ref="K11" r:id="rId1"/>
    <hyperlink ref="K12" r:id="rId2"/>
  </hyperlinks>
  <pageMargins left="0.25" right="0.25" top="0.75" bottom="0.75" header="0.3" footer="0.3"/>
  <pageSetup paperSize="9" orientation="landscape" horizontalDpi="0" verticalDpi="0" r:id="rId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6"/>
  <dimension ref="A1:Q26"/>
  <sheetViews>
    <sheetView tabSelected="1" zoomScale="115" zoomScaleNormal="115" workbookViewId="0">
      <selection activeCell="M5" sqref="M5:N5"/>
    </sheetView>
  </sheetViews>
  <sheetFormatPr baseColWidth="10" defaultColWidth="9.140625" defaultRowHeight="15" x14ac:dyDescent="0.25"/>
  <cols>
    <col min="1" max="16" width="8.7109375" style="1" customWidth="1"/>
    <col min="17" max="16384" width="9.140625" style="1"/>
  </cols>
  <sheetData>
    <row r="1" spans="1:16" ht="28.5" x14ac:dyDescent="0.25">
      <c r="A1" s="150" t="s">
        <v>323</v>
      </c>
      <c r="B1" s="150"/>
      <c r="C1" s="150"/>
      <c r="D1" s="150"/>
      <c r="E1" s="150"/>
      <c r="F1" s="150"/>
      <c r="G1" s="150"/>
      <c r="H1" s="150"/>
      <c r="I1" s="150"/>
      <c r="J1" s="150"/>
      <c r="K1" s="150"/>
      <c r="L1" s="150"/>
      <c r="M1" s="150"/>
      <c r="N1" s="150"/>
      <c r="O1" s="150"/>
      <c r="P1" s="150"/>
    </row>
    <row r="2" spans="1:16" ht="23.25" customHeight="1" thickBot="1" x14ac:dyDescent="0.3">
      <c r="A2" s="151"/>
      <c r="B2" s="151"/>
      <c r="C2" s="151"/>
      <c r="D2" s="151"/>
      <c r="E2" s="151"/>
      <c r="F2" s="151"/>
      <c r="G2" s="151"/>
      <c r="H2" s="151"/>
      <c r="I2" s="151"/>
      <c r="J2" s="151"/>
      <c r="K2" s="151"/>
      <c r="L2" s="151"/>
      <c r="M2" s="151"/>
      <c r="N2" s="151"/>
      <c r="O2" s="151"/>
      <c r="P2" s="151"/>
    </row>
    <row r="3" spans="1:16" x14ac:dyDescent="0.25">
      <c r="A3" s="2" t="s">
        <v>1</v>
      </c>
      <c r="B3" s="103" t="s">
        <v>324</v>
      </c>
      <c r="C3" s="103"/>
      <c r="D3" s="103"/>
      <c r="E3" s="103"/>
      <c r="F3" s="103"/>
      <c r="G3" s="103"/>
      <c r="H3" s="152"/>
      <c r="I3" s="101" t="s">
        <v>6</v>
      </c>
      <c r="J3" s="102"/>
      <c r="K3" s="153" t="s">
        <v>37</v>
      </c>
      <c r="L3" s="154"/>
      <c r="M3" s="101" t="s">
        <v>9</v>
      </c>
      <c r="N3" s="102"/>
      <c r="O3" s="102"/>
      <c r="P3" s="137"/>
    </row>
    <row r="4" spans="1:16" x14ac:dyDescent="0.25">
      <c r="A4" s="3" t="s">
        <v>2</v>
      </c>
      <c r="B4" s="119" t="s">
        <v>325</v>
      </c>
      <c r="C4" s="119"/>
      <c r="D4" s="119"/>
      <c r="E4" s="119"/>
      <c r="F4" s="119"/>
      <c r="G4" s="119"/>
      <c r="H4" s="141"/>
      <c r="I4" s="142" t="s">
        <v>7</v>
      </c>
      <c r="J4" s="143"/>
      <c r="K4" s="144">
        <v>12</v>
      </c>
      <c r="L4" s="145"/>
      <c r="M4" s="33" t="s">
        <v>10</v>
      </c>
      <c r="N4" s="34" t="s">
        <v>76</v>
      </c>
      <c r="O4" s="143" t="s">
        <v>11</v>
      </c>
      <c r="P4" s="146"/>
    </row>
    <row r="5" spans="1:16" ht="15.75" thickBot="1" x14ac:dyDescent="0.3">
      <c r="A5" s="4" t="s">
        <v>480</v>
      </c>
      <c r="B5" s="71" t="s">
        <v>546</v>
      </c>
      <c r="C5" s="5" t="s">
        <v>481</v>
      </c>
      <c r="D5" s="70" t="s">
        <v>323</v>
      </c>
      <c r="E5" s="74"/>
      <c r="F5" s="5" t="s">
        <v>12</v>
      </c>
      <c r="G5" s="147">
        <v>557553434</v>
      </c>
      <c r="H5" s="126"/>
      <c r="I5" s="107" t="s">
        <v>8</v>
      </c>
      <c r="J5" s="108"/>
      <c r="K5" s="148">
        <v>180</v>
      </c>
      <c r="L5" s="149"/>
      <c r="M5" s="36">
        <v>100</v>
      </c>
      <c r="N5" s="35"/>
      <c r="O5" s="148"/>
      <c r="P5" s="149"/>
    </row>
    <row r="6" spans="1:16" ht="15.75" thickBot="1" x14ac:dyDescent="0.3">
      <c r="A6" s="12"/>
      <c r="B6" s="12"/>
      <c r="C6" s="12"/>
      <c r="D6" s="12"/>
      <c r="E6" s="12"/>
      <c r="F6" s="12"/>
      <c r="G6" s="12"/>
      <c r="H6" s="12"/>
      <c r="I6" s="12"/>
      <c r="J6" s="12"/>
      <c r="K6" s="12"/>
      <c r="L6" s="12"/>
      <c r="M6" s="12"/>
      <c r="N6" s="12"/>
      <c r="O6" s="12"/>
      <c r="P6" s="12"/>
    </row>
    <row r="7" spans="1:16" ht="15.75" thickBot="1" x14ac:dyDescent="0.3">
      <c r="A7" s="138" t="s">
        <v>31</v>
      </c>
      <c r="B7" s="139"/>
      <c r="C7" s="131"/>
      <c r="D7" s="131"/>
      <c r="E7" s="131"/>
      <c r="F7" s="131"/>
      <c r="G7" s="139" t="s">
        <v>32</v>
      </c>
      <c r="H7" s="139"/>
      <c r="I7" s="140"/>
      <c r="J7" s="140"/>
      <c r="K7" s="140"/>
      <c r="L7" s="139" t="s">
        <v>33</v>
      </c>
      <c r="M7" s="139"/>
      <c r="N7" s="131"/>
      <c r="O7" s="131"/>
      <c r="P7" s="132"/>
    </row>
    <row r="8" spans="1:16" ht="15.75" thickBot="1" x14ac:dyDescent="0.3">
      <c r="A8" s="133"/>
      <c r="B8" s="133"/>
      <c r="C8" s="133"/>
      <c r="D8" s="133"/>
      <c r="E8" s="133"/>
      <c r="F8" s="133"/>
      <c r="G8" s="133"/>
      <c r="H8" s="133"/>
      <c r="I8" s="133"/>
      <c r="J8" s="133"/>
      <c r="K8" s="133"/>
      <c r="L8" s="133"/>
      <c r="M8" s="133"/>
      <c r="N8" s="133"/>
      <c r="O8" s="133"/>
      <c r="P8" s="133"/>
    </row>
    <row r="9" spans="1:16" ht="15.75" thickBot="1" x14ac:dyDescent="0.3">
      <c r="A9" s="111" t="s">
        <v>13</v>
      </c>
      <c r="B9" s="112"/>
      <c r="C9" s="112"/>
      <c r="D9" s="112"/>
      <c r="E9" s="112"/>
      <c r="F9" s="112"/>
      <c r="G9" s="112"/>
      <c r="H9" s="112"/>
      <c r="I9" s="112"/>
      <c r="J9" s="112"/>
      <c r="K9" s="112"/>
      <c r="L9" s="112"/>
      <c r="M9" s="112"/>
      <c r="N9" s="112"/>
      <c r="O9" s="112"/>
      <c r="P9" s="113"/>
    </row>
    <row r="10" spans="1:16" s="6" customFormat="1" x14ac:dyDescent="0.25">
      <c r="A10" s="134" t="s">
        <v>1</v>
      </c>
      <c r="B10" s="135"/>
      <c r="C10" s="135" t="s">
        <v>3</v>
      </c>
      <c r="D10" s="135"/>
      <c r="E10" s="135" t="s">
        <v>4</v>
      </c>
      <c r="F10" s="135"/>
      <c r="G10" s="104" t="s">
        <v>20</v>
      </c>
      <c r="H10" s="105"/>
      <c r="I10" s="104" t="s">
        <v>21</v>
      </c>
      <c r="J10" s="136"/>
      <c r="K10" s="102" t="s">
        <v>5</v>
      </c>
      <c r="L10" s="102"/>
      <c r="M10" s="102"/>
      <c r="N10" s="102"/>
      <c r="O10" s="102"/>
      <c r="P10" s="137"/>
    </row>
    <row r="11" spans="1:16" x14ac:dyDescent="0.25">
      <c r="A11" s="118" t="s">
        <v>326</v>
      </c>
      <c r="B11" s="119"/>
      <c r="C11" s="119" t="s">
        <v>186</v>
      </c>
      <c r="D11" s="119"/>
      <c r="E11" s="119" t="s">
        <v>71</v>
      </c>
      <c r="F11" s="119"/>
      <c r="G11" s="120">
        <v>557553439</v>
      </c>
      <c r="H11" s="121"/>
      <c r="I11" s="120"/>
      <c r="J11" s="122"/>
      <c r="K11" s="129"/>
      <c r="L11" s="129"/>
      <c r="M11" s="129"/>
      <c r="N11" s="129"/>
      <c r="O11" s="129"/>
      <c r="P11" s="130"/>
    </row>
    <row r="12" spans="1:16" x14ac:dyDescent="0.25">
      <c r="A12" s="118"/>
      <c r="B12" s="119"/>
      <c r="C12" s="119"/>
      <c r="D12" s="119"/>
      <c r="E12" s="119"/>
      <c r="F12" s="119"/>
      <c r="G12" s="120"/>
      <c r="H12" s="121"/>
      <c r="I12" s="120"/>
      <c r="J12" s="122"/>
      <c r="K12" s="123"/>
      <c r="L12" s="123"/>
      <c r="M12" s="123"/>
      <c r="N12" s="123"/>
      <c r="O12" s="123"/>
      <c r="P12" s="124"/>
    </row>
    <row r="13" spans="1:16" x14ac:dyDescent="0.25">
      <c r="A13" s="118"/>
      <c r="B13" s="119"/>
      <c r="C13" s="119"/>
      <c r="D13" s="119"/>
      <c r="E13" s="119"/>
      <c r="F13" s="119"/>
      <c r="G13" s="120"/>
      <c r="H13" s="121"/>
      <c r="I13" s="120"/>
      <c r="J13" s="122"/>
      <c r="K13" s="123"/>
      <c r="L13" s="123"/>
      <c r="M13" s="123"/>
      <c r="N13" s="123"/>
      <c r="O13" s="123"/>
      <c r="P13" s="124"/>
    </row>
    <row r="14" spans="1:16" x14ac:dyDescent="0.25">
      <c r="A14" s="118"/>
      <c r="B14" s="119"/>
      <c r="C14" s="119"/>
      <c r="D14" s="119"/>
      <c r="E14" s="119"/>
      <c r="F14" s="119"/>
      <c r="G14" s="120"/>
      <c r="H14" s="121"/>
      <c r="I14" s="120"/>
      <c r="J14" s="122"/>
      <c r="K14" s="123"/>
      <c r="L14" s="123"/>
      <c r="M14" s="123"/>
      <c r="N14" s="123"/>
      <c r="O14" s="123"/>
      <c r="P14" s="124"/>
    </row>
    <row r="15" spans="1:16" x14ac:dyDescent="0.25">
      <c r="A15" s="118"/>
      <c r="B15" s="119"/>
      <c r="C15" s="119"/>
      <c r="D15" s="119"/>
      <c r="E15" s="119"/>
      <c r="F15" s="119"/>
      <c r="G15" s="120"/>
      <c r="H15" s="121"/>
      <c r="I15" s="120"/>
      <c r="J15" s="122"/>
      <c r="K15" s="123"/>
      <c r="L15" s="123"/>
      <c r="M15" s="123"/>
      <c r="N15" s="123"/>
      <c r="O15" s="123"/>
      <c r="P15" s="124"/>
    </row>
    <row r="16" spans="1:16" ht="15.75" thickBot="1" x14ac:dyDescent="0.3">
      <c r="A16" s="125"/>
      <c r="B16" s="109"/>
      <c r="C16" s="109"/>
      <c r="D16" s="109"/>
      <c r="E16" s="109"/>
      <c r="F16" s="109"/>
      <c r="G16" s="126"/>
      <c r="H16" s="127"/>
      <c r="I16" s="126"/>
      <c r="J16" s="128"/>
      <c r="K16" s="116"/>
      <c r="L16" s="116"/>
      <c r="M16" s="116"/>
      <c r="N16" s="116"/>
      <c r="O16" s="116"/>
      <c r="P16" s="117"/>
    </row>
    <row r="17" spans="1:17" ht="15.75" thickBot="1" x14ac:dyDescent="0.3">
      <c r="A17" s="100"/>
      <c r="B17" s="100"/>
      <c r="C17" s="100"/>
      <c r="D17" s="100"/>
      <c r="E17" s="100"/>
      <c r="F17" s="100"/>
      <c r="G17" s="100"/>
      <c r="H17" s="100"/>
      <c r="I17" s="100"/>
      <c r="J17" s="100"/>
      <c r="K17" s="100"/>
      <c r="L17" s="100"/>
      <c r="M17" s="100"/>
      <c r="N17" s="100"/>
      <c r="O17" s="100"/>
      <c r="P17" s="100"/>
    </row>
    <row r="18" spans="1:17" x14ac:dyDescent="0.25">
      <c r="A18" s="101" t="s">
        <v>23</v>
      </c>
      <c r="B18" s="102"/>
      <c r="C18" s="102"/>
      <c r="D18" s="103"/>
      <c r="E18" s="103"/>
      <c r="F18" s="103"/>
      <c r="G18" s="103"/>
      <c r="H18" s="103"/>
      <c r="I18" s="103"/>
      <c r="J18" s="104" t="s">
        <v>25</v>
      </c>
      <c r="K18" s="105"/>
      <c r="L18" s="103"/>
      <c r="M18" s="103"/>
      <c r="N18" s="103"/>
      <c r="O18" s="103"/>
      <c r="P18" s="106"/>
    </row>
    <row r="19" spans="1:17" ht="15.75" thickBot="1" x14ac:dyDescent="0.3">
      <c r="A19" s="107" t="s">
        <v>24</v>
      </c>
      <c r="B19" s="108"/>
      <c r="C19" s="108"/>
      <c r="D19" s="109"/>
      <c r="E19" s="109"/>
      <c r="F19" s="109"/>
      <c r="G19" s="109"/>
      <c r="H19" s="109"/>
      <c r="I19" s="109"/>
      <c r="J19" s="108" t="s">
        <v>26</v>
      </c>
      <c r="K19" s="108"/>
      <c r="L19" s="109"/>
      <c r="M19" s="109"/>
      <c r="N19" s="109"/>
      <c r="O19" s="109"/>
      <c r="P19" s="110"/>
    </row>
    <row r="20" spans="1:17" ht="15.75" thickBot="1" x14ac:dyDescent="0.3">
      <c r="A20" s="100"/>
      <c r="B20" s="100"/>
      <c r="C20" s="100"/>
      <c r="D20" s="100"/>
      <c r="E20" s="100"/>
      <c r="F20" s="100"/>
      <c r="G20" s="100"/>
      <c r="H20" s="100"/>
      <c r="I20" s="100"/>
      <c r="J20" s="100"/>
      <c r="K20" s="100"/>
      <c r="L20" s="100"/>
      <c r="M20" s="100"/>
      <c r="N20" s="100"/>
      <c r="O20" s="100"/>
      <c r="P20" s="100"/>
    </row>
    <row r="21" spans="1:17" ht="15.75" thickBot="1" x14ac:dyDescent="0.3">
      <c r="A21" s="111" t="s">
        <v>27</v>
      </c>
      <c r="B21" s="112"/>
      <c r="C21" s="112" t="s">
        <v>28</v>
      </c>
      <c r="D21" s="112"/>
      <c r="E21" s="112"/>
      <c r="F21" s="112"/>
      <c r="G21" s="112"/>
      <c r="H21" s="112"/>
      <c r="I21" s="112"/>
      <c r="J21" s="112"/>
      <c r="K21" s="112"/>
      <c r="L21" s="112"/>
      <c r="M21" s="112"/>
      <c r="N21" s="112"/>
      <c r="O21" s="112"/>
      <c r="P21" s="113"/>
      <c r="Q21" s="7"/>
    </row>
    <row r="22" spans="1:17" ht="30" customHeight="1" x14ac:dyDescent="0.25">
      <c r="A22" s="114">
        <v>42129</v>
      </c>
      <c r="B22" s="115"/>
      <c r="C22" s="91" t="s">
        <v>327</v>
      </c>
      <c r="D22" s="91"/>
      <c r="E22" s="91"/>
      <c r="F22" s="91"/>
      <c r="G22" s="91"/>
      <c r="H22" s="91"/>
      <c r="I22" s="91"/>
      <c r="J22" s="91"/>
      <c r="K22" s="91"/>
      <c r="L22" s="91"/>
      <c r="M22" s="91"/>
      <c r="N22" s="91"/>
      <c r="O22" s="91"/>
      <c r="P22" s="92"/>
      <c r="Q22" s="7"/>
    </row>
    <row r="23" spans="1:17" ht="30" customHeight="1" x14ac:dyDescent="0.25">
      <c r="A23" s="89"/>
      <c r="B23" s="90"/>
      <c r="C23" s="97"/>
      <c r="D23" s="98"/>
      <c r="E23" s="98"/>
      <c r="F23" s="98"/>
      <c r="G23" s="98"/>
      <c r="H23" s="98"/>
      <c r="I23" s="98"/>
      <c r="J23" s="98"/>
      <c r="K23" s="98"/>
      <c r="L23" s="98"/>
      <c r="M23" s="98"/>
      <c r="N23" s="98"/>
      <c r="O23" s="98"/>
      <c r="P23" s="99"/>
      <c r="Q23" s="7"/>
    </row>
    <row r="24" spans="1:17" ht="30" customHeight="1" x14ac:dyDescent="0.25">
      <c r="A24" s="89"/>
      <c r="B24" s="90"/>
      <c r="C24" s="91"/>
      <c r="D24" s="91"/>
      <c r="E24" s="91"/>
      <c r="F24" s="91"/>
      <c r="G24" s="91"/>
      <c r="H24" s="91"/>
      <c r="I24" s="91"/>
      <c r="J24" s="91"/>
      <c r="K24" s="91"/>
      <c r="L24" s="91"/>
      <c r="M24" s="91"/>
      <c r="N24" s="91"/>
      <c r="O24" s="91"/>
      <c r="P24" s="92"/>
      <c r="Q24" s="7"/>
    </row>
    <row r="25" spans="1:17" ht="30" customHeight="1" x14ac:dyDescent="0.25">
      <c r="A25" s="89"/>
      <c r="B25" s="90"/>
      <c r="C25" s="91"/>
      <c r="D25" s="91"/>
      <c r="E25" s="91"/>
      <c r="F25" s="91"/>
      <c r="G25" s="91"/>
      <c r="H25" s="91"/>
      <c r="I25" s="91"/>
      <c r="J25" s="91"/>
      <c r="K25" s="91"/>
      <c r="L25" s="91"/>
      <c r="M25" s="91"/>
      <c r="N25" s="91"/>
      <c r="O25" s="91"/>
      <c r="P25" s="92"/>
    </row>
    <row r="26" spans="1:17" ht="30" customHeight="1" thickBot="1" x14ac:dyDescent="0.3">
      <c r="A26" s="93"/>
      <c r="B26" s="94"/>
      <c r="C26" s="95"/>
      <c r="D26" s="95"/>
      <c r="E26" s="95"/>
      <c r="F26" s="95"/>
      <c r="G26" s="95"/>
      <c r="H26" s="95"/>
      <c r="I26" s="95"/>
      <c r="J26" s="95"/>
      <c r="K26" s="95"/>
      <c r="L26" s="95"/>
      <c r="M26" s="95"/>
      <c r="N26" s="95"/>
      <c r="O26" s="95"/>
      <c r="P26" s="96"/>
    </row>
  </sheetData>
  <mergeCells count="86">
    <mergeCell ref="A1:P1"/>
    <mergeCell ref="A2:P2"/>
    <mergeCell ref="B3:H3"/>
    <mergeCell ref="I3:J3"/>
    <mergeCell ref="K3:L3"/>
    <mergeCell ref="M3:P3"/>
    <mergeCell ref="N7:P7"/>
    <mergeCell ref="B4:H4"/>
    <mergeCell ref="I4:J4"/>
    <mergeCell ref="K4:L4"/>
    <mergeCell ref="O4:P4"/>
    <mergeCell ref="G5:H5"/>
    <mergeCell ref="I5:J5"/>
    <mergeCell ref="K5:L5"/>
    <mergeCell ref="O5:P5"/>
    <mergeCell ref="A7:B7"/>
    <mergeCell ref="C7:F7"/>
    <mergeCell ref="G7:H7"/>
    <mergeCell ref="I7:K7"/>
    <mergeCell ref="L7:M7"/>
    <mergeCell ref="A8:P8"/>
    <mergeCell ref="A9:P9"/>
    <mergeCell ref="A10:B10"/>
    <mergeCell ref="C10:D10"/>
    <mergeCell ref="E10:F10"/>
    <mergeCell ref="G10:H10"/>
    <mergeCell ref="I10:J10"/>
    <mergeCell ref="K10:P10"/>
    <mergeCell ref="K12:P12"/>
    <mergeCell ref="A11:B11"/>
    <mergeCell ref="C11:D11"/>
    <mergeCell ref="E11:F11"/>
    <mergeCell ref="G11:H11"/>
    <mergeCell ref="I11:J11"/>
    <mergeCell ref="K11:P11"/>
    <mergeCell ref="A12:B12"/>
    <mergeCell ref="C12:D12"/>
    <mergeCell ref="E12:F12"/>
    <mergeCell ref="G12:H12"/>
    <mergeCell ref="I12:J12"/>
    <mergeCell ref="K14:P14"/>
    <mergeCell ref="A13:B13"/>
    <mergeCell ref="C13:D13"/>
    <mergeCell ref="E13:F13"/>
    <mergeCell ref="G13:H13"/>
    <mergeCell ref="I13:J13"/>
    <mergeCell ref="K13:P13"/>
    <mergeCell ref="A14:B14"/>
    <mergeCell ref="C14:D14"/>
    <mergeCell ref="E14:F14"/>
    <mergeCell ref="G14:H14"/>
    <mergeCell ref="I14:J14"/>
    <mergeCell ref="K16:P16"/>
    <mergeCell ref="A15:B15"/>
    <mergeCell ref="C15:D15"/>
    <mergeCell ref="E15:F15"/>
    <mergeCell ref="G15:H15"/>
    <mergeCell ref="I15:J15"/>
    <mergeCell ref="K15:P15"/>
    <mergeCell ref="A16:B16"/>
    <mergeCell ref="C16:D16"/>
    <mergeCell ref="E16:F16"/>
    <mergeCell ref="G16:H16"/>
    <mergeCell ref="I16:J16"/>
    <mergeCell ref="A23:B23"/>
    <mergeCell ref="C23:P23"/>
    <mergeCell ref="A17:P17"/>
    <mergeCell ref="A18:C18"/>
    <mergeCell ref="D18:I18"/>
    <mergeCell ref="J18:K18"/>
    <mergeCell ref="L18:P18"/>
    <mergeCell ref="A19:C19"/>
    <mergeCell ref="D19:I19"/>
    <mergeCell ref="J19:K19"/>
    <mergeCell ref="L19:P19"/>
    <mergeCell ref="A20:P20"/>
    <mergeCell ref="A21:B21"/>
    <mergeCell ref="C21:P21"/>
    <mergeCell ref="A22:B22"/>
    <mergeCell ref="C22:P22"/>
    <mergeCell ref="A24:B24"/>
    <mergeCell ref="C24:P24"/>
    <mergeCell ref="A25:B25"/>
    <mergeCell ref="C25:P25"/>
    <mergeCell ref="A26:B26"/>
    <mergeCell ref="C26:P26"/>
  </mergeCells>
  <pageMargins left="0.25" right="0.25" top="0.75" bottom="0.75" header="0.3" footer="0.3"/>
  <pageSetup paperSize="9" orientation="landscape" horizontalDpi="0" verticalDpi="0"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7"/>
  <dimension ref="A1:Q26"/>
  <sheetViews>
    <sheetView tabSelected="1" zoomScale="115" zoomScaleNormal="115" workbookViewId="0">
      <selection activeCell="M5" sqref="M5:N5"/>
    </sheetView>
  </sheetViews>
  <sheetFormatPr baseColWidth="10" defaultColWidth="9.140625" defaultRowHeight="15" x14ac:dyDescent="0.25"/>
  <cols>
    <col min="1" max="16" width="8.7109375" style="1" customWidth="1"/>
    <col min="17" max="16384" width="9.140625" style="1"/>
  </cols>
  <sheetData>
    <row r="1" spans="1:16" ht="28.5" x14ac:dyDescent="0.25">
      <c r="A1" s="150" t="s">
        <v>331</v>
      </c>
      <c r="B1" s="150"/>
      <c r="C1" s="150"/>
      <c r="D1" s="150"/>
      <c r="E1" s="150"/>
      <c r="F1" s="150"/>
      <c r="G1" s="150"/>
      <c r="H1" s="150"/>
      <c r="I1" s="150"/>
      <c r="J1" s="150"/>
      <c r="K1" s="150"/>
      <c r="L1" s="150"/>
      <c r="M1" s="150"/>
      <c r="N1" s="150"/>
      <c r="O1" s="150"/>
      <c r="P1" s="150"/>
    </row>
    <row r="2" spans="1:16" ht="23.25" customHeight="1" thickBot="1" x14ac:dyDescent="0.3">
      <c r="A2" s="151"/>
      <c r="B2" s="151"/>
      <c r="C2" s="151"/>
      <c r="D2" s="151"/>
      <c r="E2" s="151"/>
      <c r="F2" s="151"/>
      <c r="G2" s="151"/>
      <c r="H2" s="151"/>
      <c r="I2" s="151"/>
      <c r="J2" s="151"/>
      <c r="K2" s="151"/>
      <c r="L2" s="151"/>
      <c r="M2" s="151"/>
      <c r="N2" s="151"/>
      <c r="O2" s="151"/>
      <c r="P2" s="151"/>
    </row>
    <row r="3" spans="1:16" x14ac:dyDescent="0.25">
      <c r="A3" s="2" t="s">
        <v>1</v>
      </c>
      <c r="B3" s="103" t="s">
        <v>332</v>
      </c>
      <c r="C3" s="103"/>
      <c r="D3" s="103"/>
      <c r="E3" s="103"/>
      <c r="F3" s="103"/>
      <c r="G3" s="103"/>
      <c r="H3" s="152"/>
      <c r="I3" s="101" t="s">
        <v>6</v>
      </c>
      <c r="J3" s="102"/>
      <c r="K3" s="153" t="s">
        <v>37</v>
      </c>
      <c r="L3" s="154"/>
      <c r="M3" s="101" t="s">
        <v>9</v>
      </c>
      <c r="N3" s="102"/>
      <c r="O3" s="102"/>
      <c r="P3" s="137"/>
    </row>
    <row r="4" spans="1:16" x14ac:dyDescent="0.25">
      <c r="A4" s="3" t="s">
        <v>2</v>
      </c>
      <c r="B4" s="119" t="s">
        <v>334</v>
      </c>
      <c r="C4" s="119"/>
      <c r="D4" s="119"/>
      <c r="E4" s="119"/>
      <c r="F4" s="119"/>
      <c r="G4" s="119"/>
      <c r="H4" s="141"/>
      <c r="I4" s="142" t="s">
        <v>7</v>
      </c>
      <c r="J4" s="143"/>
      <c r="K4" s="144">
        <v>15</v>
      </c>
      <c r="L4" s="145"/>
      <c r="M4" s="33" t="s">
        <v>10</v>
      </c>
      <c r="N4" s="34" t="s">
        <v>76</v>
      </c>
      <c r="O4" s="143" t="s">
        <v>11</v>
      </c>
      <c r="P4" s="146"/>
    </row>
    <row r="5" spans="1:16" ht="15.75" thickBot="1" x14ac:dyDescent="0.3">
      <c r="A5" s="4" t="s">
        <v>480</v>
      </c>
      <c r="B5" s="71" t="s">
        <v>547</v>
      </c>
      <c r="C5" s="5" t="s">
        <v>481</v>
      </c>
      <c r="D5" s="70" t="s">
        <v>548</v>
      </c>
      <c r="E5" s="74"/>
      <c r="F5" s="5" t="s">
        <v>12</v>
      </c>
      <c r="G5" s="147">
        <v>320874848</v>
      </c>
      <c r="H5" s="126"/>
      <c r="I5" s="107" t="s">
        <v>8</v>
      </c>
      <c r="J5" s="108"/>
      <c r="K5" s="148">
        <v>180</v>
      </c>
      <c r="L5" s="149"/>
      <c r="M5" s="36"/>
      <c r="N5" s="35"/>
      <c r="O5" s="148"/>
      <c r="P5" s="149"/>
    </row>
    <row r="6" spans="1:16" ht="15.75" thickBot="1" x14ac:dyDescent="0.3">
      <c r="A6" s="12"/>
      <c r="B6" s="12"/>
      <c r="C6" s="12"/>
      <c r="D6" s="12"/>
      <c r="E6" s="12"/>
      <c r="F6" s="12"/>
      <c r="G6" s="12"/>
      <c r="H6" s="12"/>
      <c r="I6" s="12"/>
      <c r="J6" s="12"/>
      <c r="K6" s="12"/>
      <c r="L6" s="12"/>
      <c r="M6" s="12"/>
      <c r="N6" s="12"/>
      <c r="O6" s="12"/>
      <c r="P6" s="12"/>
    </row>
    <row r="7" spans="1:16" ht="15.75" thickBot="1" x14ac:dyDescent="0.3">
      <c r="A7" s="138" t="s">
        <v>31</v>
      </c>
      <c r="B7" s="139"/>
      <c r="C7" s="131"/>
      <c r="D7" s="131"/>
      <c r="E7" s="131"/>
      <c r="F7" s="131"/>
      <c r="G7" s="139" t="s">
        <v>32</v>
      </c>
      <c r="H7" s="139"/>
      <c r="I7" s="140"/>
      <c r="J7" s="140"/>
      <c r="K7" s="140"/>
      <c r="L7" s="139" t="s">
        <v>33</v>
      </c>
      <c r="M7" s="139"/>
      <c r="N7" s="131"/>
      <c r="O7" s="131"/>
      <c r="P7" s="132"/>
    </row>
    <row r="8" spans="1:16" ht="15.75" thickBot="1" x14ac:dyDescent="0.3">
      <c r="A8" s="133"/>
      <c r="B8" s="133"/>
      <c r="C8" s="133"/>
      <c r="D8" s="133"/>
      <c r="E8" s="133"/>
      <c r="F8" s="133"/>
      <c r="G8" s="133"/>
      <c r="H8" s="133"/>
      <c r="I8" s="133"/>
      <c r="J8" s="133"/>
      <c r="K8" s="133"/>
      <c r="L8" s="133"/>
      <c r="M8" s="133"/>
      <c r="N8" s="133"/>
      <c r="O8" s="133"/>
      <c r="P8" s="133"/>
    </row>
    <row r="9" spans="1:16" ht="15.75" thickBot="1" x14ac:dyDescent="0.3">
      <c r="A9" s="111" t="s">
        <v>13</v>
      </c>
      <c r="B9" s="112"/>
      <c r="C9" s="112"/>
      <c r="D9" s="112"/>
      <c r="E9" s="112"/>
      <c r="F9" s="112"/>
      <c r="G9" s="112"/>
      <c r="H9" s="112"/>
      <c r="I9" s="112"/>
      <c r="J9" s="112"/>
      <c r="K9" s="112"/>
      <c r="L9" s="112"/>
      <c r="M9" s="112"/>
      <c r="N9" s="112"/>
      <c r="O9" s="112"/>
      <c r="P9" s="113"/>
    </row>
    <row r="10" spans="1:16" s="6" customFormat="1" x14ac:dyDescent="0.25">
      <c r="A10" s="134" t="s">
        <v>1</v>
      </c>
      <c r="B10" s="135"/>
      <c r="C10" s="135" t="s">
        <v>3</v>
      </c>
      <c r="D10" s="135"/>
      <c r="E10" s="135" t="s">
        <v>4</v>
      </c>
      <c r="F10" s="135"/>
      <c r="G10" s="104" t="s">
        <v>20</v>
      </c>
      <c r="H10" s="105"/>
      <c r="I10" s="104" t="s">
        <v>21</v>
      </c>
      <c r="J10" s="136"/>
      <c r="K10" s="102" t="s">
        <v>5</v>
      </c>
      <c r="L10" s="102"/>
      <c r="M10" s="102"/>
      <c r="N10" s="102"/>
      <c r="O10" s="102"/>
      <c r="P10" s="137"/>
    </row>
    <row r="11" spans="1:16" x14ac:dyDescent="0.25">
      <c r="A11" s="118" t="s">
        <v>335</v>
      </c>
      <c r="B11" s="119"/>
      <c r="C11" s="119" t="s">
        <v>336</v>
      </c>
      <c r="D11" s="119"/>
      <c r="E11" s="119"/>
      <c r="F11" s="119"/>
      <c r="G11" s="120">
        <v>320877656</v>
      </c>
      <c r="H11" s="121"/>
      <c r="I11" s="120"/>
      <c r="J11" s="122"/>
      <c r="K11" s="129"/>
      <c r="L11" s="129"/>
      <c r="M11" s="129"/>
      <c r="N11" s="129"/>
      <c r="O11" s="129"/>
      <c r="P11" s="130"/>
    </row>
    <row r="12" spans="1:16" x14ac:dyDescent="0.25">
      <c r="A12" s="118"/>
      <c r="B12" s="119"/>
      <c r="C12" s="119"/>
      <c r="D12" s="119"/>
      <c r="E12" s="119"/>
      <c r="F12" s="119"/>
      <c r="G12" s="120"/>
      <c r="H12" s="121"/>
      <c r="I12" s="120"/>
      <c r="J12" s="122"/>
      <c r="K12" s="123"/>
      <c r="L12" s="123"/>
      <c r="M12" s="123"/>
      <c r="N12" s="123"/>
      <c r="O12" s="123"/>
      <c r="P12" s="124"/>
    </row>
    <row r="13" spans="1:16" x14ac:dyDescent="0.25">
      <c r="A13" s="118"/>
      <c r="B13" s="119"/>
      <c r="C13" s="119"/>
      <c r="D13" s="119"/>
      <c r="E13" s="119"/>
      <c r="F13" s="119"/>
      <c r="G13" s="120"/>
      <c r="H13" s="121"/>
      <c r="I13" s="120"/>
      <c r="J13" s="122"/>
      <c r="K13" s="123"/>
      <c r="L13" s="123"/>
      <c r="M13" s="123"/>
      <c r="N13" s="123"/>
      <c r="O13" s="123"/>
      <c r="P13" s="124"/>
    </row>
    <row r="14" spans="1:16" x14ac:dyDescent="0.25">
      <c r="A14" s="118"/>
      <c r="B14" s="119"/>
      <c r="C14" s="119"/>
      <c r="D14" s="119"/>
      <c r="E14" s="119"/>
      <c r="F14" s="119"/>
      <c r="G14" s="120"/>
      <c r="H14" s="121"/>
      <c r="I14" s="120"/>
      <c r="J14" s="122"/>
      <c r="K14" s="123"/>
      <c r="L14" s="123"/>
      <c r="M14" s="123"/>
      <c r="N14" s="123"/>
      <c r="O14" s="123"/>
      <c r="P14" s="124"/>
    </row>
    <row r="15" spans="1:16" x14ac:dyDescent="0.25">
      <c r="A15" s="118"/>
      <c r="B15" s="119"/>
      <c r="C15" s="119"/>
      <c r="D15" s="119"/>
      <c r="E15" s="119"/>
      <c r="F15" s="119"/>
      <c r="G15" s="120"/>
      <c r="H15" s="121"/>
      <c r="I15" s="120"/>
      <c r="J15" s="122"/>
      <c r="K15" s="123"/>
      <c r="L15" s="123"/>
      <c r="M15" s="123"/>
      <c r="N15" s="123"/>
      <c r="O15" s="123"/>
      <c r="P15" s="124"/>
    </row>
    <row r="16" spans="1:16" ht="15.75" thickBot="1" x14ac:dyDescent="0.3">
      <c r="A16" s="125"/>
      <c r="B16" s="109"/>
      <c r="C16" s="109"/>
      <c r="D16" s="109"/>
      <c r="E16" s="109"/>
      <c r="F16" s="109"/>
      <c r="G16" s="126"/>
      <c r="H16" s="127"/>
      <c r="I16" s="126"/>
      <c r="J16" s="128"/>
      <c r="K16" s="116"/>
      <c r="L16" s="116"/>
      <c r="M16" s="116"/>
      <c r="N16" s="116"/>
      <c r="O16" s="116"/>
      <c r="P16" s="117"/>
    </row>
    <row r="17" spans="1:17" ht="15.75" thickBot="1" x14ac:dyDescent="0.3">
      <c r="A17" s="100"/>
      <c r="B17" s="100"/>
      <c r="C17" s="100"/>
      <c r="D17" s="100"/>
      <c r="E17" s="100"/>
      <c r="F17" s="100"/>
      <c r="G17" s="100"/>
      <c r="H17" s="100"/>
      <c r="I17" s="100"/>
      <c r="J17" s="100"/>
      <c r="K17" s="100"/>
      <c r="L17" s="100"/>
      <c r="M17" s="100"/>
      <c r="N17" s="100"/>
      <c r="O17" s="100"/>
      <c r="P17" s="100"/>
    </row>
    <row r="18" spans="1:17" x14ac:dyDescent="0.25">
      <c r="A18" s="101" t="s">
        <v>23</v>
      </c>
      <c r="B18" s="102"/>
      <c r="C18" s="102"/>
      <c r="D18" s="103"/>
      <c r="E18" s="103"/>
      <c r="F18" s="103"/>
      <c r="G18" s="103"/>
      <c r="H18" s="103"/>
      <c r="I18" s="103"/>
      <c r="J18" s="104" t="s">
        <v>25</v>
      </c>
      <c r="K18" s="105"/>
      <c r="L18" s="103"/>
      <c r="M18" s="103"/>
      <c r="N18" s="103"/>
      <c r="O18" s="103"/>
      <c r="P18" s="106"/>
    </row>
    <row r="19" spans="1:17" ht="15.75" thickBot="1" x14ac:dyDescent="0.3">
      <c r="A19" s="107" t="s">
        <v>24</v>
      </c>
      <c r="B19" s="108"/>
      <c r="C19" s="108"/>
      <c r="D19" s="109"/>
      <c r="E19" s="109"/>
      <c r="F19" s="109"/>
      <c r="G19" s="109"/>
      <c r="H19" s="109"/>
      <c r="I19" s="109"/>
      <c r="J19" s="108" t="s">
        <v>26</v>
      </c>
      <c r="K19" s="108"/>
      <c r="L19" s="109"/>
      <c r="M19" s="109"/>
      <c r="N19" s="109"/>
      <c r="O19" s="109"/>
      <c r="P19" s="110"/>
    </row>
    <row r="20" spans="1:17" ht="15.75" thickBot="1" x14ac:dyDescent="0.3">
      <c r="A20" s="100"/>
      <c r="B20" s="100"/>
      <c r="C20" s="100"/>
      <c r="D20" s="100"/>
      <c r="E20" s="100"/>
      <c r="F20" s="100"/>
      <c r="G20" s="100"/>
      <c r="H20" s="100"/>
      <c r="I20" s="100"/>
      <c r="J20" s="100"/>
      <c r="K20" s="100"/>
      <c r="L20" s="100"/>
      <c r="M20" s="100"/>
      <c r="N20" s="100"/>
      <c r="O20" s="100"/>
      <c r="P20" s="100"/>
    </row>
    <row r="21" spans="1:17" ht="15.75" thickBot="1" x14ac:dyDescent="0.3">
      <c r="A21" s="111" t="s">
        <v>27</v>
      </c>
      <c r="B21" s="112"/>
      <c r="C21" s="112" t="s">
        <v>28</v>
      </c>
      <c r="D21" s="112"/>
      <c r="E21" s="112"/>
      <c r="F21" s="112"/>
      <c r="G21" s="112"/>
      <c r="H21" s="112"/>
      <c r="I21" s="112"/>
      <c r="J21" s="112"/>
      <c r="K21" s="112"/>
      <c r="L21" s="112"/>
      <c r="M21" s="112"/>
      <c r="N21" s="112"/>
      <c r="O21" s="112"/>
      <c r="P21" s="113"/>
      <c r="Q21" s="7"/>
    </row>
    <row r="22" spans="1:17" ht="30" customHeight="1" x14ac:dyDescent="0.25">
      <c r="A22" s="114">
        <v>42129</v>
      </c>
      <c r="B22" s="115"/>
      <c r="C22" s="91" t="s">
        <v>337</v>
      </c>
      <c r="D22" s="91"/>
      <c r="E22" s="91"/>
      <c r="F22" s="91"/>
      <c r="G22" s="91"/>
      <c r="H22" s="91"/>
      <c r="I22" s="91"/>
      <c r="J22" s="91"/>
      <c r="K22" s="91"/>
      <c r="L22" s="91"/>
      <c r="M22" s="91"/>
      <c r="N22" s="91"/>
      <c r="O22" s="91"/>
      <c r="P22" s="92"/>
      <c r="Q22" s="7"/>
    </row>
    <row r="23" spans="1:17" ht="30" customHeight="1" x14ac:dyDescent="0.25">
      <c r="A23" s="89"/>
      <c r="B23" s="90"/>
      <c r="C23" s="97"/>
      <c r="D23" s="98"/>
      <c r="E23" s="98"/>
      <c r="F23" s="98"/>
      <c r="G23" s="98"/>
      <c r="H23" s="98"/>
      <c r="I23" s="98"/>
      <c r="J23" s="98"/>
      <c r="K23" s="98"/>
      <c r="L23" s="98"/>
      <c r="M23" s="98"/>
      <c r="N23" s="98"/>
      <c r="O23" s="98"/>
      <c r="P23" s="99"/>
      <c r="Q23" s="7"/>
    </row>
    <row r="24" spans="1:17" ht="30" customHeight="1" x14ac:dyDescent="0.25">
      <c r="A24" s="89"/>
      <c r="B24" s="90"/>
      <c r="C24" s="91"/>
      <c r="D24" s="91"/>
      <c r="E24" s="91"/>
      <c r="F24" s="91"/>
      <c r="G24" s="91"/>
      <c r="H24" s="91"/>
      <c r="I24" s="91"/>
      <c r="J24" s="91"/>
      <c r="K24" s="91"/>
      <c r="L24" s="91"/>
      <c r="M24" s="91"/>
      <c r="N24" s="91"/>
      <c r="O24" s="91"/>
      <c r="P24" s="92"/>
      <c r="Q24" s="7"/>
    </row>
    <row r="25" spans="1:17" ht="30" customHeight="1" x14ac:dyDescent="0.25">
      <c r="A25" s="89"/>
      <c r="B25" s="90"/>
      <c r="C25" s="91"/>
      <c r="D25" s="91"/>
      <c r="E25" s="91"/>
      <c r="F25" s="91"/>
      <c r="G25" s="91"/>
      <c r="H25" s="91"/>
      <c r="I25" s="91"/>
      <c r="J25" s="91"/>
      <c r="K25" s="91"/>
      <c r="L25" s="91"/>
      <c r="M25" s="91"/>
      <c r="N25" s="91"/>
      <c r="O25" s="91"/>
      <c r="P25" s="92"/>
    </row>
    <row r="26" spans="1:17" ht="30" customHeight="1" thickBot="1" x14ac:dyDescent="0.3">
      <c r="A26" s="93"/>
      <c r="B26" s="94"/>
      <c r="C26" s="95"/>
      <c r="D26" s="95"/>
      <c r="E26" s="95"/>
      <c r="F26" s="95"/>
      <c r="G26" s="95"/>
      <c r="H26" s="95"/>
      <c r="I26" s="95"/>
      <c r="J26" s="95"/>
      <c r="K26" s="95"/>
      <c r="L26" s="95"/>
      <c r="M26" s="95"/>
      <c r="N26" s="95"/>
      <c r="O26" s="95"/>
      <c r="P26" s="96"/>
    </row>
  </sheetData>
  <mergeCells count="86">
    <mergeCell ref="A1:P1"/>
    <mergeCell ref="A2:P2"/>
    <mergeCell ref="B3:H3"/>
    <mergeCell ref="I3:J3"/>
    <mergeCell ref="K3:L3"/>
    <mergeCell ref="M3:P3"/>
    <mergeCell ref="N7:P7"/>
    <mergeCell ref="B4:H4"/>
    <mergeCell ref="I4:J4"/>
    <mergeCell ref="K4:L4"/>
    <mergeCell ref="O4:P4"/>
    <mergeCell ref="G5:H5"/>
    <mergeCell ref="I5:J5"/>
    <mergeCell ref="K5:L5"/>
    <mergeCell ref="O5:P5"/>
    <mergeCell ref="A7:B7"/>
    <mergeCell ref="C7:F7"/>
    <mergeCell ref="G7:H7"/>
    <mergeCell ref="I7:K7"/>
    <mergeCell ref="L7:M7"/>
    <mergeCell ref="A8:P8"/>
    <mergeCell ref="A9:P9"/>
    <mergeCell ref="A10:B10"/>
    <mergeCell ref="C10:D10"/>
    <mergeCell ref="E10:F10"/>
    <mergeCell ref="G10:H10"/>
    <mergeCell ref="I10:J10"/>
    <mergeCell ref="K10:P10"/>
    <mergeCell ref="K12:P12"/>
    <mergeCell ref="A11:B11"/>
    <mergeCell ref="C11:D11"/>
    <mergeCell ref="E11:F11"/>
    <mergeCell ref="G11:H11"/>
    <mergeCell ref="I11:J11"/>
    <mergeCell ref="K11:P11"/>
    <mergeCell ref="A12:B12"/>
    <mergeCell ref="C12:D12"/>
    <mergeCell ref="E12:F12"/>
    <mergeCell ref="G12:H12"/>
    <mergeCell ref="I12:J12"/>
    <mergeCell ref="K14:P14"/>
    <mergeCell ref="A13:B13"/>
    <mergeCell ref="C13:D13"/>
    <mergeCell ref="E13:F13"/>
    <mergeCell ref="G13:H13"/>
    <mergeCell ref="I13:J13"/>
    <mergeCell ref="K13:P13"/>
    <mergeCell ref="A14:B14"/>
    <mergeCell ref="C14:D14"/>
    <mergeCell ref="E14:F14"/>
    <mergeCell ref="G14:H14"/>
    <mergeCell ref="I14:J14"/>
    <mergeCell ref="K16:P16"/>
    <mergeCell ref="A15:B15"/>
    <mergeCell ref="C15:D15"/>
    <mergeCell ref="E15:F15"/>
    <mergeCell ref="G15:H15"/>
    <mergeCell ref="I15:J15"/>
    <mergeCell ref="K15:P15"/>
    <mergeCell ref="A16:B16"/>
    <mergeCell ref="C16:D16"/>
    <mergeCell ref="E16:F16"/>
    <mergeCell ref="G16:H16"/>
    <mergeCell ref="I16:J16"/>
    <mergeCell ref="A23:B23"/>
    <mergeCell ref="C23:P23"/>
    <mergeCell ref="A17:P17"/>
    <mergeCell ref="A18:C18"/>
    <mergeCell ref="D18:I18"/>
    <mergeCell ref="J18:K18"/>
    <mergeCell ref="L18:P18"/>
    <mergeCell ref="A19:C19"/>
    <mergeCell ref="D19:I19"/>
    <mergeCell ref="J19:K19"/>
    <mergeCell ref="L19:P19"/>
    <mergeCell ref="A20:P20"/>
    <mergeCell ref="A21:B21"/>
    <mergeCell ref="C21:P21"/>
    <mergeCell ref="A22:B22"/>
    <mergeCell ref="C22:P22"/>
    <mergeCell ref="A24:B24"/>
    <mergeCell ref="C24:P24"/>
    <mergeCell ref="A25:B25"/>
    <mergeCell ref="C25:P25"/>
    <mergeCell ref="A26:B26"/>
    <mergeCell ref="C26:P26"/>
  </mergeCells>
  <pageMargins left="0.25" right="0.25" top="0.75" bottom="0.75" header="0.3" footer="0.3"/>
  <pageSetup paperSize="9" orientation="landscape" horizontalDpi="0" verticalDpi="0"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8"/>
  <dimension ref="A1:Q26"/>
  <sheetViews>
    <sheetView tabSelected="1" zoomScale="115" zoomScaleNormal="115" workbookViewId="0">
      <selection activeCell="M5" sqref="M5:N5"/>
    </sheetView>
  </sheetViews>
  <sheetFormatPr baseColWidth="10" defaultColWidth="9.140625" defaultRowHeight="15" x14ac:dyDescent="0.25"/>
  <cols>
    <col min="1" max="16" width="8.7109375" style="1" customWidth="1"/>
    <col min="17" max="16384" width="9.140625" style="1"/>
  </cols>
  <sheetData>
    <row r="1" spans="1:16" ht="28.5" x14ac:dyDescent="0.25">
      <c r="A1" s="150" t="s">
        <v>446</v>
      </c>
      <c r="B1" s="150"/>
      <c r="C1" s="150"/>
      <c r="D1" s="150"/>
      <c r="E1" s="150"/>
      <c r="F1" s="150"/>
      <c r="G1" s="150"/>
      <c r="H1" s="150"/>
      <c r="I1" s="150"/>
      <c r="J1" s="150"/>
      <c r="K1" s="150"/>
      <c r="L1" s="150"/>
      <c r="M1" s="150"/>
      <c r="N1" s="150"/>
      <c r="O1" s="150"/>
      <c r="P1" s="150"/>
    </row>
    <row r="2" spans="1:16" ht="23.25" customHeight="1" thickBot="1" x14ac:dyDescent="0.3">
      <c r="A2" s="151"/>
      <c r="B2" s="151"/>
      <c r="C2" s="151"/>
      <c r="D2" s="151"/>
      <c r="E2" s="151"/>
      <c r="F2" s="151"/>
      <c r="G2" s="151"/>
      <c r="H2" s="151"/>
      <c r="I2" s="151"/>
      <c r="J2" s="151"/>
      <c r="K2" s="151"/>
      <c r="L2" s="151"/>
      <c r="M2" s="151"/>
      <c r="N2" s="151"/>
      <c r="O2" s="151"/>
      <c r="P2" s="151"/>
    </row>
    <row r="3" spans="1:16" x14ac:dyDescent="0.25">
      <c r="A3" s="2" t="s">
        <v>1</v>
      </c>
      <c r="B3" s="103" t="s">
        <v>447</v>
      </c>
      <c r="C3" s="103"/>
      <c r="D3" s="103"/>
      <c r="E3" s="103"/>
      <c r="F3" s="103"/>
      <c r="G3" s="103"/>
      <c r="H3" s="152"/>
      <c r="I3" s="101" t="s">
        <v>6</v>
      </c>
      <c r="J3" s="102"/>
      <c r="K3" s="153"/>
      <c r="L3" s="154"/>
      <c r="M3" s="101" t="s">
        <v>9</v>
      </c>
      <c r="N3" s="102"/>
      <c r="O3" s="102"/>
      <c r="P3" s="137"/>
    </row>
    <row r="4" spans="1:16" x14ac:dyDescent="0.25">
      <c r="A4" s="3" t="s">
        <v>2</v>
      </c>
      <c r="B4" s="119"/>
      <c r="C4" s="119"/>
      <c r="D4" s="119"/>
      <c r="E4" s="119"/>
      <c r="F4" s="119"/>
      <c r="G4" s="119"/>
      <c r="H4" s="141"/>
      <c r="I4" s="142" t="s">
        <v>7</v>
      </c>
      <c r="J4" s="143"/>
      <c r="K4" s="144"/>
      <c r="L4" s="145"/>
      <c r="M4" s="41" t="s">
        <v>10</v>
      </c>
      <c r="N4" s="42" t="s">
        <v>76</v>
      </c>
      <c r="O4" s="143" t="s">
        <v>11</v>
      </c>
      <c r="P4" s="146"/>
    </row>
    <row r="5" spans="1:16" ht="15.75" thickBot="1" x14ac:dyDescent="0.3">
      <c r="A5" s="4" t="s">
        <v>480</v>
      </c>
      <c r="B5" s="71" t="s">
        <v>549</v>
      </c>
      <c r="C5" s="5" t="s">
        <v>481</v>
      </c>
      <c r="D5" s="70" t="s">
        <v>550</v>
      </c>
      <c r="E5" s="74"/>
      <c r="F5" s="5" t="s">
        <v>12</v>
      </c>
      <c r="G5" s="147" t="str">
        <f>"+377 97988494"</f>
        <v>+377 97988494</v>
      </c>
      <c r="H5" s="126"/>
      <c r="I5" s="107" t="s">
        <v>8</v>
      </c>
      <c r="J5" s="108"/>
      <c r="K5" s="148"/>
      <c r="L5" s="149"/>
      <c r="M5" s="44"/>
      <c r="N5" s="43"/>
      <c r="O5" s="148"/>
      <c r="P5" s="149"/>
    </row>
    <row r="6" spans="1:16" ht="15.75" thickBot="1" x14ac:dyDescent="0.3">
      <c r="A6" s="12"/>
      <c r="B6" s="12"/>
      <c r="C6" s="12"/>
      <c r="D6" s="12"/>
      <c r="E6" s="12"/>
      <c r="F6" s="12"/>
      <c r="G6" s="12"/>
      <c r="H6" s="12"/>
      <c r="I6" s="12"/>
      <c r="J6" s="12"/>
      <c r="K6" s="12"/>
      <c r="L6" s="12"/>
      <c r="M6" s="12"/>
      <c r="N6" s="12"/>
      <c r="O6" s="12"/>
      <c r="P6" s="12"/>
    </row>
    <row r="7" spans="1:16" ht="15.75" thickBot="1" x14ac:dyDescent="0.3">
      <c r="A7" s="138" t="s">
        <v>31</v>
      </c>
      <c r="B7" s="139"/>
      <c r="C7" s="131"/>
      <c r="D7" s="131"/>
      <c r="E7" s="131"/>
      <c r="F7" s="131"/>
      <c r="G7" s="139" t="s">
        <v>32</v>
      </c>
      <c r="H7" s="139"/>
      <c r="I7" s="140"/>
      <c r="J7" s="140"/>
      <c r="K7" s="140"/>
      <c r="L7" s="139" t="s">
        <v>33</v>
      </c>
      <c r="M7" s="139"/>
      <c r="N7" s="131"/>
      <c r="O7" s="131"/>
      <c r="P7" s="132"/>
    </row>
    <row r="8" spans="1:16" ht="15.75" thickBot="1" x14ac:dyDescent="0.3">
      <c r="A8" s="133"/>
      <c r="B8" s="133"/>
      <c r="C8" s="133"/>
      <c r="D8" s="133"/>
      <c r="E8" s="133"/>
      <c r="F8" s="133"/>
      <c r="G8" s="133"/>
      <c r="H8" s="133"/>
      <c r="I8" s="133"/>
      <c r="J8" s="133"/>
      <c r="K8" s="133"/>
      <c r="L8" s="133"/>
      <c r="M8" s="133"/>
      <c r="N8" s="133"/>
      <c r="O8" s="133"/>
      <c r="P8" s="133"/>
    </row>
    <row r="9" spans="1:16" ht="15.75" thickBot="1" x14ac:dyDescent="0.3">
      <c r="A9" s="111" t="s">
        <v>13</v>
      </c>
      <c r="B9" s="112"/>
      <c r="C9" s="112"/>
      <c r="D9" s="112"/>
      <c r="E9" s="112"/>
      <c r="F9" s="112"/>
      <c r="G9" s="112"/>
      <c r="H9" s="112"/>
      <c r="I9" s="112"/>
      <c r="J9" s="112"/>
      <c r="K9" s="112"/>
      <c r="L9" s="112"/>
      <c r="M9" s="112"/>
      <c r="N9" s="112"/>
      <c r="O9" s="112"/>
      <c r="P9" s="113"/>
    </row>
    <row r="10" spans="1:16" s="6" customFormat="1" x14ac:dyDescent="0.25">
      <c r="A10" s="134" t="s">
        <v>1</v>
      </c>
      <c r="B10" s="135"/>
      <c r="C10" s="135" t="s">
        <v>3</v>
      </c>
      <c r="D10" s="135"/>
      <c r="E10" s="135" t="s">
        <v>4</v>
      </c>
      <c r="F10" s="135"/>
      <c r="G10" s="104" t="s">
        <v>20</v>
      </c>
      <c r="H10" s="105"/>
      <c r="I10" s="104" t="s">
        <v>21</v>
      </c>
      <c r="J10" s="136"/>
      <c r="K10" s="102" t="s">
        <v>5</v>
      </c>
      <c r="L10" s="102"/>
      <c r="M10" s="102"/>
      <c r="N10" s="102"/>
      <c r="O10" s="102"/>
      <c r="P10" s="137"/>
    </row>
    <row r="11" spans="1:16" x14ac:dyDescent="0.25">
      <c r="A11" s="118" t="s">
        <v>448</v>
      </c>
      <c r="B11" s="119"/>
      <c r="C11" s="119" t="s">
        <v>449</v>
      </c>
      <c r="D11" s="119"/>
      <c r="E11" s="119" t="s">
        <v>450</v>
      </c>
      <c r="F11" s="119"/>
      <c r="G11" s="120"/>
      <c r="H11" s="121"/>
      <c r="I11" s="120"/>
      <c r="J11" s="122"/>
      <c r="K11" s="129" t="s">
        <v>451</v>
      </c>
      <c r="L11" s="129"/>
      <c r="M11" s="129"/>
      <c r="N11" s="129"/>
      <c r="O11" s="129"/>
      <c r="P11" s="130"/>
    </row>
    <row r="12" spans="1:16" x14ac:dyDescent="0.25">
      <c r="A12" s="118" t="s">
        <v>452</v>
      </c>
      <c r="B12" s="119"/>
      <c r="C12" s="119" t="s">
        <v>179</v>
      </c>
      <c r="D12" s="119"/>
      <c r="E12" s="119" t="s">
        <v>453</v>
      </c>
      <c r="F12" s="119"/>
      <c r="G12" s="120"/>
      <c r="H12" s="121"/>
      <c r="I12" s="120"/>
      <c r="J12" s="122"/>
      <c r="K12" s="158" t="s">
        <v>454</v>
      </c>
      <c r="L12" s="123"/>
      <c r="M12" s="123"/>
      <c r="N12" s="123"/>
      <c r="O12" s="123"/>
      <c r="P12" s="124"/>
    </row>
    <row r="13" spans="1:16" x14ac:dyDescent="0.25">
      <c r="A13" s="118" t="s">
        <v>455</v>
      </c>
      <c r="B13" s="119"/>
      <c r="C13" s="119" t="s">
        <v>456</v>
      </c>
      <c r="D13" s="119"/>
      <c r="E13" s="119" t="s">
        <v>457</v>
      </c>
      <c r="F13" s="119"/>
      <c r="G13" s="120"/>
      <c r="H13" s="121"/>
      <c r="I13" s="120"/>
      <c r="J13" s="122"/>
      <c r="K13" s="158" t="s">
        <v>458</v>
      </c>
      <c r="L13" s="123"/>
      <c r="M13" s="123"/>
      <c r="N13" s="123"/>
      <c r="O13" s="123"/>
      <c r="P13" s="124"/>
    </row>
    <row r="14" spans="1:16" x14ac:dyDescent="0.25">
      <c r="A14" s="118" t="s">
        <v>459</v>
      </c>
      <c r="B14" s="119"/>
      <c r="C14" s="119" t="s">
        <v>460</v>
      </c>
      <c r="D14" s="119"/>
      <c r="E14" s="119" t="s">
        <v>453</v>
      </c>
      <c r="F14" s="119"/>
      <c r="G14" s="120"/>
      <c r="H14" s="121"/>
      <c r="I14" s="120"/>
      <c r="J14" s="122"/>
      <c r="K14" s="158" t="s">
        <v>461</v>
      </c>
      <c r="L14" s="123"/>
      <c r="M14" s="123"/>
      <c r="N14" s="123"/>
      <c r="O14" s="123"/>
      <c r="P14" s="124"/>
    </row>
    <row r="15" spans="1:16" x14ac:dyDescent="0.25">
      <c r="A15" s="118"/>
      <c r="B15" s="119"/>
      <c r="C15" s="119"/>
      <c r="D15" s="119"/>
      <c r="E15" s="119"/>
      <c r="F15" s="119"/>
      <c r="G15" s="120"/>
      <c r="H15" s="121"/>
      <c r="I15" s="120"/>
      <c r="J15" s="122"/>
      <c r="K15" s="123"/>
      <c r="L15" s="123"/>
      <c r="M15" s="123"/>
      <c r="N15" s="123"/>
      <c r="O15" s="123"/>
      <c r="P15" s="124"/>
    </row>
    <row r="16" spans="1:16" ht="15.75" thickBot="1" x14ac:dyDescent="0.3">
      <c r="A16" s="125"/>
      <c r="B16" s="109"/>
      <c r="C16" s="109"/>
      <c r="D16" s="109"/>
      <c r="E16" s="109"/>
      <c r="F16" s="109"/>
      <c r="G16" s="126"/>
      <c r="H16" s="127"/>
      <c r="I16" s="126"/>
      <c r="J16" s="128"/>
      <c r="K16" s="116"/>
      <c r="L16" s="116"/>
      <c r="M16" s="116"/>
      <c r="N16" s="116"/>
      <c r="O16" s="116"/>
      <c r="P16" s="117"/>
    </row>
    <row r="17" spans="1:17" ht="15.75" thickBot="1" x14ac:dyDescent="0.3">
      <c r="A17" s="100"/>
      <c r="B17" s="100"/>
      <c r="C17" s="100"/>
      <c r="D17" s="100"/>
      <c r="E17" s="100"/>
      <c r="F17" s="100"/>
      <c r="G17" s="100"/>
      <c r="H17" s="100"/>
      <c r="I17" s="100"/>
      <c r="J17" s="100"/>
      <c r="K17" s="100"/>
      <c r="L17" s="100"/>
      <c r="M17" s="100"/>
      <c r="N17" s="100"/>
      <c r="O17" s="100"/>
      <c r="P17" s="100"/>
    </row>
    <row r="18" spans="1:17" x14ac:dyDescent="0.25">
      <c r="A18" s="101" t="s">
        <v>23</v>
      </c>
      <c r="B18" s="102"/>
      <c r="C18" s="102"/>
      <c r="D18" s="103"/>
      <c r="E18" s="103"/>
      <c r="F18" s="103"/>
      <c r="G18" s="103"/>
      <c r="H18" s="103"/>
      <c r="I18" s="103"/>
      <c r="J18" s="104" t="s">
        <v>25</v>
      </c>
      <c r="K18" s="105"/>
      <c r="L18" s="103"/>
      <c r="M18" s="103"/>
      <c r="N18" s="103"/>
      <c r="O18" s="103"/>
      <c r="P18" s="106"/>
    </row>
    <row r="19" spans="1:17" ht="15.75" thickBot="1" x14ac:dyDescent="0.3">
      <c r="A19" s="107" t="s">
        <v>24</v>
      </c>
      <c r="B19" s="108"/>
      <c r="C19" s="108"/>
      <c r="D19" s="109"/>
      <c r="E19" s="109"/>
      <c r="F19" s="109"/>
      <c r="G19" s="109"/>
      <c r="H19" s="109"/>
      <c r="I19" s="109"/>
      <c r="J19" s="108" t="s">
        <v>26</v>
      </c>
      <c r="K19" s="108"/>
      <c r="L19" s="109"/>
      <c r="M19" s="109"/>
      <c r="N19" s="109"/>
      <c r="O19" s="109"/>
      <c r="P19" s="110"/>
    </row>
    <row r="20" spans="1:17" ht="15.75" thickBot="1" x14ac:dyDescent="0.3">
      <c r="A20" s="100"/>
      <c r="B20" s="100"/>
      <c r="C20" s="100"/>
      <c r="D20" s="100"/>
      <c r="E20" s="100"/>
      <c r="F20" s="100"/>
      <c r="G20" s="100"/>
      <c r="H20" s="100"/>
      <c r="I20" s="100"/>
      <c r="J20" s="100"/>
      <c r="K20" s="100"/>
      <c r="L20" s="100"/>
      <c r="M20" s="100"/>
      <c r="N20" s="100"/>
      <c r="O20" s="100"/>
      <c r="P20" s="100"/>
    </row>
    <row r="21" spans="1:17" ht="15.75" thickBot="1" x14ac:dyDescent="0.3">
      <c r="A21" s="111" t="s">
        <v>27</v>
      </c>
      <c r="B21" s="112"/>
      <c r="C21" s="112" t="s">
        <v>28</v>
      </c>
      <c r="D21" s="112"/>
      <c r="E21" s="112"/>
      <c r="F21" s="112"/>
      <c r="G21" s="112"/>
      <c r="H21" s="112"/>
      <c r="I21" s="112"/>
      <c r="J21" s="112"/>
      <c r="K21" s="112"/>
      <c r="L21" s="112"/>
      <c r="M21" s="112"/>
      <c r="N21" s="112"/>
      <c r="O21" s="112"/>
      <c r="P21" s="113"/>
      <c r="Q21" s="7"/>
    </row>
    <row r="22" spans="1:17" ht="30" customHeight="1" x14ac:dyDescent="0.25">
      <c r="A22" s="114">
        <v>42157</v>
      </c>
      <c r="B22" s="115"/>
      <c r="C22" s="91" t="s">
        <v>462</v>
      </c>
      <c r="D22" s="91"/>
      <c r="E22" s="91"/>
      <c r="F22" s="91"/>
      <c r="G22" s="91"/>
      <c r="H22" s="91"/>
      <c r="I22" s="91"/>
      <c r="J22" s="91"/>
      <c r="K22" s="91"/>
      <c r="L22" s="91"/>
      <c r="M22" s="91"/>
      <c r="N22" s="91"/>
      <c r="O22" s="91"/>
      <c r="P22" s="92"/>
      <c r="Q22" s="7"/>
    </row>
    <row r="23" spans="1:17" ht="30" customHeight="1" x14ac:dyDescent="0.25">
      <c r="A23" s="89"/>
      <c r="B23" s="90"/>
      <c r="C23" s="97"/>
      <c r="D23" s="98"/>
      <c r="E23" s="98"/>
      <c r="F23" s="98"/>
      <c r="G23" s="98"/>
      <c r="H23" s="98"/>
      <c r="I23" s="98"/>
      <c r="J23" s="98"/>
      <c r="K23" s="98"/>
      <c r="L23" s="98"/>
      <c r="M23" s="98"/>
      <c r="N23" s="98"/>
      <c r="O23" s="98"/>
      <c r="P23" s="99"/>
      <c r="Q23" s="7"/>
    </row>
    <row r="24" spans="1:17" ht="30" customHeight="1" x14ac:dyDescent="0.25">
      <c r="A24" s="89"/>
      <c r="B24" s="90"/>
      <c r="C24" s="91"/>
      <c r="D24" s="91"/>
      <c r="E24" s="91"/>
      <c r="F24" s="91"/>
      <c r="G24" s="91"/>
      <c r="H24" s="91"/>
      <c r="I24" s="91"/>
      <c r="J24" s="91"/>
      <c r="K24" s="91"/>
      <c r="L24" s="91"/>
      <c r="M24" s="91"/>
      <c r="N24" s="91"/>
      <c r="O24" s="91"/>
      <c r="P24" s="92"/>
      <c r="Q24" s="7"/>
    </row>
    <row r="25" spans="1:17" ht="30" customHeight="1" x14ac:dyDescent="0.25">
      <c r="A25" s="89"/>
      <c r="B25" s="90"/>
      <c r="C25" s="91"/>
      <c r="D25" s="91"/>
      <c r="E25" s="91"/>
      <c r="F25" s="91"/>
      <c r="G25" s="91"/>
      <c r="H25" s="91"/>
      <c r="I25" s="91"/>
      <c r="J25" s="91"/>
      <c r="K25" s="91"/>
      <c r="L25" s="91"/>
      <c r="M25" s="91"/>
      <c r="N25" s="91"/>
      <c r="O25" s="91"/>
      <c r="P25" s="92"/>
    </row>
    <row r="26" spans="1:17" ht="30" customHeight="1" thickBot="1" x14ac:dyDescent="0.3">
      <c r="A26" s="93"/>
      <c r="B26" s="94"/>
      <c r="C26" s="95"/>
      <c r="D26" s="95"/>
      <c r="E26" s="95"/>
      <c r="F26" s="95"/>
      <c r="G26" s="95"/>
      <c r="H26" s="95"/>
      <c r="I26" s="95"/>
      <c r="J26" s="95"/>
      <c r="K26" s="95"/>
      <c r="L26" s="95"/>
      <c r="M26" s="95"/>
      <c r="N26" s="95"/>
      <c r="O26" s="95"/>
      <c r="P26" s="96"/>
    </row>
  </sheetData>
  <mergeCells count="86">
    <mergeCell ref="A24:B24"/>
    <mergeCell ref="C24:P24"/>
    <mergeCell ref="A25:B25"/>
    <mergeCell ref="C25:P25"/>
    <mergeCell ref="A26:B26"/>
    <mergeCell ref="C26:P26"/>
    <mergeCell ref="A23:B23"/>
    <mergeCell ref="C23:P23"/>
    <mergeCell ref="A17:P17"/>
    <mergeCell ref="A18:C18"/>
    <mergeCell ref="D18:I18"/>
    <mergeCell ref="J18:K18"/>
    <mergeCell ref="L18:P18"/>
    <mergeCell ref="A19:C19"/>
    <mergeCell ref="D19:I19"/>
    <mergeCell ref="J19:K19"/>
    <mergeCell ref="L19:P19"/>
    <mergeCell ref="A20:P20"/>
    <mergeCell ref="A21:B21"/>
    <mergeCell ref="C21:P21"/>
    <mergeCell ref="A22:B22"/>
    <mergeCell ref="C22:P22"/>
    <mergeCell ref="K16:P16"/>
    <mergeCell ref="A15:B15"/>
    <mergeCell ref="C15:D15"/>
    <mergeCell ref="E15:F15"/>
    <mergeCell ref="G15:H15"/>
    <mergeCell ref="I15:J15"/>
    <mergeCell ref="K15:P15"/>
    <mergeCell ref="A16:B16"/>
    <mergeCell ref="C16:D16"/>
    <mergeCell ref="E16:F16"/>
    <mergeCell ref="G16:H16"/>
    <mergeCell ref="I16:J16"/>
    <mergeCell ref="K14:P14"/>
    <mergeCell ref="A13:B13"/>
    <mergeCell ref="C13:D13"/>
    <mergeCell ref="E13:F13"/>
    <mergeCell ref="G13:H13"/>
    <mergeCell ref="I13:J13"/>
    <mergeCell ref="K13:P13"/>
    <mergeCell ref="A14:B14"/>
    <mergeCell ref="C14:D14"/>
    <mergeCell ref="E14:F14"/>
    <mergeCell ref="G14:H14"/>
    <mergeCell ref="I14:J14"/>
    <mergeCell ref="K12:P12"/>
    <mergeCell ref="A11:B11"/>
    <mergeCell ref="C11:D11"/>
    <mergeCell ref="E11:F11"/>
    <mergeCell ref="G11:H11"/>
    <mergeCell ref="I11:J11"/>
    <mergeCell ref="K11:P11"/>
    <mergeCell ref="A12:B12"/>
    <mergeCell ref="C12:D12"/>
    <mergeCell ref="E12:F12"/>
    <mergeCell ref="G12:H12"/>
    <mergeCell ref="I12:J12"/>
    <mergeCell ref="A8:P8"/>
    <mergeCell ref="A9:P9"/>
    <mergeCell ref="A10:B10"/>
    <mergeCell ref="C10:D10"/>
    <mergeCell ref="E10:F10"/>
    <mergeCell ref="G10:H10"/>
    <mergeCell ref="I10:J10"/>
    <mergeCell ref="K10:P10"/>
    <mergeCell ref="N7:P7"/>
    <mergeCell ref="B4:H4"/>
    <mergeCell ref="I4:J4"/>
    <mergeCell ref="K4:L4"/>
    <mergeCell ref="O4:P4"/>
    <mergeCell ref="G5:H5"/>
    <mergeCell ref="I5:J5"/>
    <mergeCell ref="K5:L5"/>
    <mergeCell ref="O5:P5"/>
    <mergeCell ref="A7:B7"/>
    <mergeCell ref="C7:F7"/>
    <mergeCell ref="G7:H7"/>
    <mergeCell ref="I7:K7"/>
    <mergeCell ref="L7:M7"/>
    <mergeCell ref="A1:P1"/>
    <mergeCell ref="A2:P2"/>
    <mergeCell ref="B3:H3"/>
    <mergeCell ref="I3:J3"/>
    <mergeCell ref="K3:L3"/>
    <mergeCell ref="M3:P3"/>
  </mergeCells>
  <hyperlinks>
    <hyperlink ref="K11" r:id="rId1"/>
    <hyperlink ref="K12" r:id="rId2"/>
    <hyperlink ref="K13" r:id="rId3"/>
    <hyperlink ref="K14" r:id="rId4"/>
  </hyperlinks>
  <pageMargins left="0.25" right="0.25" top="0.75" bottom="0.75" header="0.3" footer="0.3"/>
  <pageSetup paperSize="9" orientation="landscape" horizontalDpi="0" verticalDpi="0" r:id="rId5"/>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9"/>
  <dimension ref="A1:Q26"/>
  <sheetViews>
    <sheetView tabSelected="1" zoomScale="115" zoomScaleNormal="115" workbookViewId="0">
      <selection activeCell="M5" sqref="M5:N5"/>
    </sheetView>
  </sheetViews>
  <sheetFormatPr baseColWidth="10" defaultColWidth="9.140625" defaultRowHeight="15" x14ac:dyDescent="0.25"/>
  <cols>
    <col min="1" max="16" width="8.7109375" style="1" customWidth="1"/>
    <col min="17" max="16384" width="9.140625" style="1"/>
  </cols>
  <sheetData>
    <row r="1" spans="1:16" ht="28.5" x14ac:dyDescent="0.25">
      <c r="A1" s="150" t="s">
        <v>344</v>
      </c>
      <c r="B1" s="150"/>
      <c r="C1" s="150"/>
      <c r="D1" s="150"/>
      <c r="E1" s="150"/>
      <c r="F1" s="150"/>
      <c r="G1" s="150"/>
      <c r="H1" s="150"/>
      <c r="I1" s="150"/>
      <c r="J1" s="150"/>
      <c r="K1" s="150"/>
      <c r="L1" s="150"/>
      <c r="M1" s="150"/>
      <c r="N1" s="150"/>
      <c r="O1" s="150"/>
      <c r="P1" s="150"/>
    </row>
    <row r="2" spans="1:16" ht="23.25" customHeight="1" thickBot="1" x14ac:dyDescent="0.3">
      <c r="A2" s="151"/>
      <c r="B2" s="151"/>
      <c r="C2" s="151"/>
      <c r="D2" s="151"/>
      <c r="E2" s="151"/>
      <c r="F2" s="151"/>
      <c r="G2" s="151"/>
      <c r="H2" s="151"/>
      <c r="I2" s="151"/>
      <c r="J2" s="151"/>
      <c r="K2" s="151"/>
      <c r="L2" s="151"/>
      <c r="M2" s="151"/>
      <c r="N2" s="151"/>
      <c r="O2" s="151"/>
      <c r="P2" s="151"/>
    </row>
    <row r="3" spans="1:16" x14ac:dyDescent="0.25">
      <c r="A3" s="2" t="s">
        <v>1</v>
      </c>
      <c r="B3" s="103" t="s">
        <v>345</v>
      </c>
      <c r="C3" s="103"/>
      <c r="D3" s="103"/>
      <c r="E3" s="103"/>
      <c r="F3" s="103"/>
      <c r="G3" s="103"/>
      <c r="H3" s="152"/>
      <c r="I3" s="101" t="s">
        <v>6</v>
      </c>
      <c r="J3" s="102"/>
      <c r="K3" s="153">
        <v>3</v>
      </c>
      <c r="L3" s="154"/>
      <c r="M3" s="101" t="s">
        <v>9</v>
      </c>
      <c r="N3" s="102"/>
      <c r="O3" s="102"/>
      <c r="P3" s="137"/>
    </row>
    <row r="4" spans="1:16" x14ac:dyDescent="0.25">
      <c r="A4" s="3" t="s">
        <v>2</v>
      </c>
      <c r="B4" s="119" t="s">
        <v>346</v>
      </c>
      <c r="C4" s="119"/>
      <c r="D4" s="119"/>
      <c r="E4" s="119"/>
      <c r="F4" s="119"/>
      <c r="G4" s="119"/>
      <c r="H4" s="141"/>
      <c r="I4" s="142" t="s">
        <v>7</v>
      </c>
      <c r="J4" s="143"/>
      <c r="K4" s="144">
        <v>25</v>
      </c>
      <c r="L4" s="145"/>
      <c r="M4" s="37" t="s">
        <v>10</v>
      </c>
      <c r="N4" s="38" t="s">
        <v>76</v>
      </c>
      <c r="O4" s="143" t="s">
        <v>347</v>
      </c>
      <c r="P4" s="146"/>
    </row>
    <row r="5" spans="1:16" ht="15.75" thickBot="1" x14ac:dyDescent="0.3">
      <c r="A5" s="4" t="s">
        <v>480</v>
      </c>
      <c r="B5" s="71" t="s">
        <v>551</v>
      </c>
      <c r="C5" s="5" t="s">
        <v>481</v>
      </c>
      <c r="D5" s="70" t="s">
        <v>552</v>
      </c>
      <c r="E5" s="74"/>
      <c r="F5" s="5" t="s">
        <v>12</v>
      </c>
      <c r="G5" s="147">
        <v>296017123</v>
      </c>
      <c r="H5" s="126"/>
      <c r="I5" s="107" t="s">
        <v>8</v>
      </c>
      <c r="J5" s="108"/>
      <c r="K5" s="148">
        <v>350</v>
      </c>
      <c r="L5" s="149"/>
      <c r="M5" s="40"/>
      <c r="N5" s="39"/>
      <c r="O5" s="148" t="s">
        <v>348</v>
      </c>
      <c r="P5" s="149"/>
    </row>
    <row r="6" spans="1:16" ht="15.75" thickBot="1" x14ac:dyDescent="0.3">
      <c r="A6" s="12"/>
      <c r="B6" s="12"/>
      <c r="C6" s="12"/>
      <c r="D6" s="12"/>
      <c r="E6" s="12"/>
      <c r="F6" s="12"/>
      <c r="G6" s="12"/>
      <c r="H6" s="12"/>
      <c r="I6" s="12"/>
      <c r="J6" s="12"/>
      <c r="K6" s="12"/>
      <c r="L6" s="12"/>
      <c r="M6" s="12"/>
      <c r="N6" s="12"/>
      <c r="O6" s="12"/>
      <c r="P6" s="12"/>
    </row>
    <row r="7" spans="1:16" ht="15.75" thickBot="1" x14ac:dyDescent="0.3">
      <c r="A7" s="138" t="s">
        <v>31</v>
      </c>
      <c r="B7" s="139"/>
      <c r="C7" s="131"/>
      <c r="D7" s="131"/>
      <c r="E7" s="131"/>
      <c r="F7" s="131"/>
      <c r="G7" s="139" t="s">
        <v>32</v>
      </c>
      <c r="H7" s="139"/>
      <c r="I7" s="140"/>
      <c r="J7" s="140"/>
      <c r="K7" s="140"/>
      <c r="L7" s="139" t="s">
        <v>33</v>
      </c>
      <c r="M7" s="139"/>
      <c r="N7" s="131"/>
      <c r="O7" s="131"/>
      <c r="P7" s="132"/>
    </row>
    <row r="8" spans="1:16" ht="15.75" thickBot="1" x14ac:dyDescent="0.3">
      <c r="A8" s="133"/>
      <c r="B8" s="133"/>
      <c r="C8" s="133"/>
      <c r="D8" s="133"/>
      <c r="E8" s="133"/>
      <c r="F8" s="133"/>
      <c r="G8" s="133"/>
      <c r="H8" s="133"/>
      <c r="I8" s="133"/>
      <c r="J8" s="133"/>
      <c r="K8" s="133"/>
      <c r="L8" s="133"/>
      <c r="M8" s="133"/>
      <c r="N8" s="133"/>
      <c r="O8" s="133"/>
      <c r="P8" s="133"/>
    </row>
    <row r="9" spans="1:16" ht="15.75" thickBot="1" x14ac:dyDescent="0.3">
      <c r="A9" s="111" t="s">
        <v>13</v>
      </c>
      <c r="B9" s="112"/>
      <c r="C9" s="112"/>
      <c r="D9" s="112"/>
      <c r="E9" s="112"/>
      <c r="F9" s="112"/>
      <c r="G9" s="112"/>
      <c r="H9" s="112"/>
      <c r="I9" s="112"/>
      <c r="J9" s="112"/>
      <c r="K9" s="112"/>
      <c r="L9" s="112"/>
      <c r="M9" s="112"/>
      <c r="N9" s="112"/>
      <c r="O9" s="112"/>
      <c r="P9" s="113"/>
    </row>
    <row r="10" spans="1:16" s="6" customFormat="1" x14ac:dyDescent="0.25">
      <c r="A10" s="134" t="s">
        <v>1</v>
      </c>
      <c r="B10" s="135"/>
      <c r="C10" s="135" t="s">
        <v>3</v>
      </c>
      <c r="D10" s="135"/>
      <c r="E10" s="135" t="s">
        <v>4</v>
      </c>
      <c r="F10" s="135"/>
      <c r="G10" s="104" t="s">
        <v>20</v>
      </c>
      <c r="H10" s="105"/>
      <c r="I10" s="104" t="s">
        <v>21</v>
      </c>
      <c r="J10" s="136"/>
      <c r="K10" s="102" t="s">
        <v>5</v>
      </c>
      <c r="L10" s="102"/>
      <c r="M10" s="102"/>
      <c r="N10" s="102"/>
      <c r="O10" s="102"/>
      <c r="P10" s="137"/>
    </row>
    <row r="11" spans="1:16" x14ac:dyDescent="0.25">
      <c r="A11" s="118" t="s">
        <v>349</v>
      </c>
      <c r="B11" s="119"/>
      <c r="C11" s="119" t="s">
        <v>172</v>
      </c>
      <c r="D11" s="119"/>
      <c r="E11" s="119" t="s">
        <v>45</v>
      </c>
      <c r="F11" s="119"/>
      <c r="G11" s="120">
        <v>296017130</v>
      </c>
      <c r="H11" s="121"/>
      <c r="I11" s="120"/>
      <c r="J11" s="122"/>
      <c r="K11" s="129" t="s">
        <v>350</v>
      </c>
      <c r="L11" s="129"/>
      <c r="M11" s="129"/>
      <c r="N11" s="129"/>
      <c r="O11" s="129"/>
      <c r="P11" s="130"/>
    </row>
    <row r="12" spans="1:16" x14ac:dyDescent="0.25">
      <c r="A12" s="118"/>
      <c r="B12" s="119"/>
      <c r="C12" s="119"/>
      <c r="D12" s="119"/>
      <c r="E12" s="119"/>
      <c r="F12" s="119"/>
      <c r="G12" s="120"/>
      <c r="H12" s="121"/>
      <c r="I12" s="120"/>
      <c r="J12" s="122"/>
      <c r="K12" s="123"/>
      <c r="L12" s="123"/>
      <c r="M12" s="123"/>
      <c r="N12" s="123"/>
      <c r="O12" s="123"/>
      <c r="P12" s="124"/>
    </row>
    <row r="13" spans="1:16" x14ac:dyDescent="0.25">
      <c r="A13" s="118"/>
      <c r="B13" s="119"/>
      <c r="C13" s="119"/>
      <c r="D13" s="119"/>
      <c r="E13" s="119"/>
      <c r="F13" s="119"/>
      <c r="G13" s="120"/>
      <c r="H13" s="121"/>
      <c r="I13" s="120"/>
      <c r="J13" s="122"/>
      <c r="K13" s="123"/>
      <c r="L13" s="123"/>
      <c r="M13" s="123"/>
      <c r="N13" s="123"/>
      <c r="O13" s="123"/>
      <c r="P13" s="124"/>
    </row>
    <row r="14" spans="1:16" x14ac:dyDescent="0.25">
      <c r="A14" s="118"/>
      <c r="B14" s="119"/>
      <c r="C14" s="119"/>
      <c r="D14" s="119"/>
      <c r="E14" s="119"/>
      <c r="F14" s="119"/>
      <c r="G14" s="120"/>
      <c r="H14" s="121"/>
      <c r="I14" s="120"/>
      <c r="J14" s="122"/>
      <c r="K14" s="123"/>
      <c r="L14" s="123"/>
      <c r="M14" s="123"/>
      <c r="N14" s="123"/>
      <c r="O14" s="123"/>
      <c r="P14" s="124"/>
    </row>
    <row r="15" spans="1:16" x14ac:dyDescent="0.25">
      <c r="A15" s="118"/>
      <c r="B15" s="119"/>
      <c r="C15" s="119"/>
      <c r="D15" s="119"/>
      <c r="E15" s="119"/>
      <c r="F15" s="119"/>
      <c r="G15" s="120"/>
      <c r="H15" s="121"/>
      <c r="I15" s="120"/>
      <c r="J15" s="122"/>
      <c r="K15" s="123"/>
      <c r="L15" s="123"/>
      <c r="M15" s="123"/>
      <c r="N15" s="123"/>
      <c r="O15" s="123"/>
      <c r="P15" s="124"/>
    </row>
    <row r="16" spans="1:16" ht="15.75" thickBot="1" x14ac:dyDescent="0.3">
      <c r="A16" s="125"/>
      <c r="B16" s="109"/>
      <c r="C16" s="109"/>
      <c r="D16" s="109"/>
      <c r="E16" s="109"/>
      <c r="F16" s="109"/>
      <c r="G16" s="126"/>
      <c r="H16" s="127"/>
      <c r="I16" s="126"/>
      <c r="J16" s="128"/>
      <c r="K16" s="116"/>
      <c r="L16" s="116"/>
      <c r="M16" s="116"/>
      <c r="N16" s="116"/>
      <c r="O16" s="116"/>
      <c r="P16" s="117"/>
    </row>
    <row r="17" spans="1:17" ht="15.75" thickBot="1" x14ac:dyDescent="0.3">
      <c r="A17" s="100"/>
      <c r="B17" s="100"/>
      <c r="C17" s="100"/>
      <c r="D17" s="100"/>
      <c r="E17" s="100"/>
      <c r="F17" s="100"/>
      <c r="G17" s="100"/>
      <c r="H17" s="100"/>
      <c r="I17" s="100"/>
      <c r="J17" s="100"/>
      <c r="K17" s="100"/>
      <c r="L17" s="100"/>
      <c r="M17" s="100"/>
      <c r="N17" s="100"/>
      <c r="O17" s="100"/>
      <c r="P17" s="100"/>
    </row>
    <row r="18" spans="1:17" x14ac:dyDescent="0.25">
      <c r="A18" s="101" t="s">
        <v>23</v>
      </c>
      <c r="B18" s="102"/>
      <c r="C18" s="102"/>
      <c r="D18" s="103"/>
      <c r="E18" s="103"/>
      <c r="F18" s="103"/>
      <c r="G18" s="103"/>
      <c r="H18" s="103"/>
      <c r="I18" s="103"/>
      <c r="J18" s="104" t="s">
        <v>25</v>
      </c>
      <c r="K18" s="105"/>
      <c r="L18" s="103"/>
      <c r="M18" s="103"/>
      <c r="N18" s="103"/>
      <c r="O18" s="103"/>
      <c r="P18" s="106"/>
    </row>
    <row r="19" spans="1:17" ht="15.75" thickBot="1" x14ac:dyDescent="0.3">
      <c r="A19" s="107" t="s">
        <v>24</v>
      </c>
      <c r="B19" s="108"/>
      <c r="C19" s="108"/>
      <c r="D19" s="109"/>
      <c r="E19" s="109"/>
      <c r="F19" s="109"/>
      <c r="G19" s="109"/>
      <c r="H19" s="109"/>
      <c r="I19" s="109"/>
      <c r="J19" s="108" t="s">
        <v>26</v>
      </c>
      <c r="K19" s="108"/>
      <c r="L19" s="109"/>
      <c r="M19" s="109"/>
      <c r="N19" s="109"/>
      <c r="O19" s="109"/>
      <c r="P19" s="110"/>
    </row>
    <row r="20" spans="1:17" ht="15.75" thickBot="1" x14ac:dyDescent="0.3">
      <c r="A20" s="100"/>
      <c r="B20" s="100"/>
      <c r="C20" s="100"/>
      <c r="D20" s="100"/>
      <c r="E20" s="100"/>
      <c r="F20" s="100"/>
      <c r="G20" s="100"/>
      <c r="H20" s="100"/>
      <c r="I20" s="100"/>
      <c r="J20" s="100"/>
      <c r="K20" s="100"/>
      <c r="L20" s="100"/>
      <c r="M20" s="100"/>
      <c r="N20" s="100"/>
      <c r="O20" s="100"/>
      <c r="P20" s="100"/>
    </row>
    <row r="21" spans="1:17" ht="15.75" thickBot="1" x14ac:dyDescent="0.3">
      <c r="A21" s="111" t="s">
        <v>27</v>
      </c>
      <c r="B21" s="112"/>
      <c r="C21" s="112" t="s">
        <v>28</v>
      </c>
      <c r="D21" s="112"/>
      <c r="E21" s="112"/>
      <c r="F21" s="112"/>
      <c r="G21" s="112"/>
      <c r="H21" s="112"/>
      <c r="I21" s="112"/>
      <c r="J21" s="112"/>
      <c r="K21" s="112"/>
      <c r="L21" s="112"/>
      <c r="M21" s="112"/>
      <c r="N21" s="112"/>
      <c r="O21" s="112"/>
      <c r="P21" s="113"/>
      <c r="Q21" s="7"/>
    </row>
    <row r="22" spans="1:17" ht="30" customHeight="1" x14ac:dyDescent="0.25">
      <c r="A22" s="114">
        <v>42153</v>
      </c>
      <c r="B22" s="115"/>
      <c r="C22" s="91" t="s">
        <v>351</v>
      </c>
      <c r="D22" s="91"/>
      <c r="E22" s="91"/>
      <c r="F22" s="91"/>
      <c r="G22" s="91"/>
      <c r="H22" s="91"/>
      <c r="I22" s="91"/>
      <c r="J22" s="91"/>
      <c r="K22" s="91"/>
      <c r="L22" s="91"/>
      <c r="M22" s="91"/>
      <c r="N22" s="91"/>
      <c r="O22" s="91"/>
      <c r="P22" s="92"/>
      <c r="Q22" s="7"/>
    </row>
    <row r="23" spans="1:17" ht="30" customHeight="1" x14ac:dyDescent="0.25">
      <c r="A23" s="89"/>
      <c r="B23" s="90"/>
      <c r="C23" s="97"/>
      <c r="D23" s="98"/>
      <c r="E23" s="98"/>
      <c r="F23" s="98"/>
      <c r="G23" s="98"/>
      <c r="H23" s="98"/>
      <c r="I23" s="98"/>
      <c r="J23" s="98"/>
      <c r="K23" s="98"/>
      <c r="L23" s="98"/>
      <c r="M23" s="98"/>
      <c r="N23" s="98"/>
      <c r="O23" s="98"/>
      <c r="P23" s="99"/>
      <c r="Q23" s="7"/>
    </row>
    <row r="24" spans="1:17" ht="30" customHeight="1" x14ac:dyDescent="0.25">
      <c r="A24" s="89"/>
      <c r="B24" s="90"/>
      <c r="C24" s="91"/>
      <c r="D24" s="91"/>
      <c r="E24" s="91"/>
      <c r="F24" s="91"/>
      <c r="G24" s="91"/>
      <c r="H24" s="91"/>
      <c r="I24" s="91"/>
      <c r="J24" s="91"/>
      <c r="K24" s="91"/>
      <c r="L24" s="91"/>
      <c r="M24" s="91"/>
      <c r="N24" s="91"/>
      <c r="O24" s="91"/>
      <c r="P24" s="92"/>
      <c r="Q24" s="7"/>
    </row>
    <row r="25" spans="1:17" ht="30" customHeight="1" x14ac:dyDescent="0.25">
      <c r="A25" s="89"/>
      <c r="B25" s="90"/>
      <c r="C25" s="91"/>
      <c r="D25" s="91"/>
      <c r="E25" s="91"/>
      <c r="F25" s="91"/>
      <c r="G25" s="91"/>
      <c r="H25" s="91"/>
      <c r="I25" s="91"/>
      <c r="J25" s="91"/>
      <c r="K25" s="91"/>
      <c r="L25" s="91"/>
      <c r="M25" s="91"/>
      <c r="N25" s="91"/>
      <c r="O25" s="91"/>
      <c r="P25" s="92"/>
    </row>
    <row r="26" spans="1:17" ht="30" customHeight="1" thickBot="1" x14ac:dyDescent="0.3">
      <c r="A26" s="93"/>
      <c r="B26" s="94"/>
      <c r="C26" s="95"/>
      <c r="D26" s="95"/>
      <c r="E26" s="95"/>
      <c r="F26" s="95"/>
      <c r="G26" s="95"/>
      <c r="H26" s="95"/>
      <c r="I26" s="95"/>
      <c r="J26" s="95"/>
      <c r="K26" s="95"/>
      <c r="L26" s="95"/>
      <c r="M26" s="95"/>
      <c r="N26" s="95"/>
      <c r="O26" s="95"/>
      <c r="P26" s="96"/>
    </row>
  </sheetData>
  <mergeCells count="86">
    <mergeCell ref="A1:P1"/>
    <mergeCell ref="A2:P2"/>
    <mergeCell ref="B3:H3"/>
    <mergeCell ref="I3:J3"/>
    <mergeCell ref="K3:L3"/>
    <mergeCell ref="M3:P3"/>
    <mergeCell ref="N7:P7"/>
    <mergeCell ref="B4:H4"/>
    <mergeCell ref="I4:J4"/>
    <mergeCell ref="K4:L4"/>
    <mergeCell ref="O4:P4"/>
    <mergeCell ref="G5:H5"/>
    <mergeCell ref="I5:J5"/>
    <mergeCell ref="K5:L5"/>
    <mergeCell ref="O5:P5"/>
    <mergeCell ref="A7:B7"/>
    <mergeCell ref="C7:F7"/>
    <mergeCell ref="G7:H7"/>
    <mergeCell ref="I7:K7"/>
    <mergeCell ref="L7:M7"/>
    <mergeCell ref="A8:P8"/>
    <mergeCell ref="A9:P9"/>
    <mergeCell ref="A10:B10"/>
    <mergeCell ref="C10:D10"/>
    <mergeCell ref="E10:F10"/>
    <mergeCell ref="G10:H10"/>
    <mergeCell ref="I10:J10"/>
    <mergeCell ref="K10:P10"/>
    <mergeCell ref="K12:P12"/>
    <mergeCell ref="A11:B11"/>
    <mergeCell ref="C11:D11"/>
    <mergeCell ref="E11:F11"/>
    <mergeCell ref="G11:H11"/>
    <mergeCell ref="I11:J11"/>
    <mergeCell ref="K11:P11"/>
    <mergeCell ref="A12:B12"/>
    <mergeCell ref="C12:D12"/>
    <mergeCell ref="E12:F12"/>
    <mergeCell ref="G12:H12"/>
    <mergeCell ref="I12:J12"/>
    <mergeCell ref="K14:P14"/>
    <mergeCell ref="A13:B13"/>
    <mergeCell ref="C13:D13"/>
    <mergeCell ref="E13:F13"/>
    <mergeCell ref="G13:H13"/>
    <mergeCell ref="I13:J13"/>
    <mergeCell ref="K13:P13"/>
    <mergeCell ref="A14:B14"/>
    <mergeCell ref="C14:D14"/>
    <mergeCell ref="E14:F14"/>
    <mergeCell ref="G14:H14"/>
    <mergeCell ref="I14:J14"/>
    <mergeCell ref="K16:P16"/>
    <mergeCell ref="A15:B15"/>
    <mergeCell ref="C15:D15"/>
    <mergeCell ref="E15:F15"/>
    <mergeCell ref="G15:H15"/>
    <mergeCell ref="I15:J15"/>
    <mergeCell ref="K15:P15"/>
    <mergeCell ref="A16:B16"/>
    <mergeCell ref="C16:D16"/>
    <mergeCell ref="E16:F16"/>
    <mergeCell ref="G16:H16"/>
    <mergeCell ref="I16:J16"/>
    <mergeCell ref="A23:B23"/>
    <mergeCell ref="C23:P23"/>
    <mergeCell ref="A17:P17"/>
    <mergeCell ref="A18:C18"/>
    <mergeCell ref="D18:I18"/>
    <mergeCell ref="J18:K18"/>
    <mergeCell ref="L18:P18"/>
    <mergeCell ref="A19:C19"/>
    <mergeCell ref="D19:I19"/>
    <mergeCell ref="J19:K19"/>
    <mergeCell ref="L19:P19"/>
    <mergeCell ref="A20:P20"/>
    <mergeCell ref="A21:B21"/>
    <mergeCell ref="C21:P21"/>
    <mergeCell ref="A22:B22"/>
    <mergeCell ref="C22:P22"/>
    <mergeCell ref="A24:B24"/>
    <mergeCell ref="C24:P24"/>
    <mergeCell ref="A25:B25"/>
    <mergeCell ref="C25:P25"/>
    <mergeCell ref="A26:B26"/>
    <mergeCell ref="C26:P26"/>
  </mergeCells>
  <hyperlinks>
    <hyperlink ref="K11" r:id="rId1"/>
  </hyperlinks>
  <pageMargins left="0.25" right="0.25" top="0.75" bottom="0.75" header="0.3" footer="0.3"/>
  <pageSetup paperSize="9" orientation="landscape" horizontalDpi="0" verticalDpi="0"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0"/>
  <dimension ref="A1:Q26"/>
  <sheetViews>
    <sheetView tabSelected="1" zoomScale="115" zoomScaleNormal="115" workbookViewId="0">
      <selection activeCell="M5" sqref="M5:N5"/>
    </sheetView>
  </sheetViews>
  <sheetFormatPr baseColWidth="10" defaultColWidth="9.140625" defaultRowHeight="15" x14ac:dyDescent="0.25"/>
  <cols>
    <col min="1" max="16" width="8.7109375" style="1" customWidth="1"/>
    <col min="17" max="16384" width="9.140625" style="1"/>
  </cols>
  <sheetData>
    <row r="1" spans="1:16" ht="28.5" x14ac:dyDescent="0.25">
      <c r="A1" s="150" t="s">
        <v>433</v>
      </c>
      <c r="B1" s="150"/>
      <c r="C1" s="150"/>
      <c r="D1" s="150"/>
      <c r="E1" s="150"/>
      <c r="F1" s="150"/>
      <c r="G1" s="150"/>
      <c r="H1" s="150"/>
      <c r="I1" s="150"/>
      <c r="J1" s="150"/>
      <c r="K1" s="150"/>
      <c r="L1" s="150"/>
      <c r="M1" s="150"/>
      <c r="N1" s="150"/>
      <c r="O1" s="150"/>
      <c r="P1" s="150"/>
    </row>
    <row r="2" spans="1:16" ht="23.25" customHeight="1" thickBot="1" x14ac:dyDescent="0.3">
      <c r="A2" s="151"/>
      <c r="B2" s="151"/>
      <c r="C2" s="151"/>
      <c r="D2" s="151"/>
      <c r="E2" s="151"/>
      <c r="F2" s="151"/>
      <c r="G2" s="151"/>
      <c r="H2" s="151"/>
      <c r="I2" s="151"/>
      <c r="J2" s="151"/>
      <c r="K2" s="151"/>
      <c r="L2" s="151"/>
      <c r="M2" s="151"/>
      <c r="N2" s="151"/>
      <c r="O2" s="151"/>
      <c r="P2" s="151"/>
    </row>
    <row r="3" spans="1:16" x14ac:dyDescent="0.25">
      <c r="A3" s="2" t="s">
        <v>1</v>
      </c>
      <c r="B3" s="103" t="s">
        <v>434</v>
      </c>
      <c r="C3" s="103"/>
      <c r="D3" s="103"/>
      <c r="E3" s="103"/>
      <c r="F3" s="103"/>
      <c r="G3" s="103"/>
      <c r="H3" s="152"/>
      <c r="I3" s="101" t="s">
        <v>6</v>
      </c>
      <c r="J3" s="102"/>
      <c r="K3" s="153">
        <v>3</v>
      </c>
      <c r="L3" s="154"/>
      <c r="M3" s="101" t="s">
        <v>9</v>
      </c>
      <c r="N3" s="102"/>
      <c r="O3" s="102"/>
      <c r="P3" s="137"/>
    </row>
    <row r="4" spans="1:16" x14ac:dyDescent="0.25">
      <c r="A4" s="3" t="s">
        <v>2</v>
      </c>
      <c r="B4" s="119" t="s">
        <v>435</v>
      </c>
      <c r="C4" s="119"/>
      <c r="D4" s="119"/>
      <c r="E4" s="119"/>
      <c r="F4" s="119"/>
      <c r="G4" s="119"/>
      <c r="H4" s="141"/>
      <c r="I4" s="142" t="s">
        <v>7</v>
      </c>
      <c r="J4" s="143"/>
      <c r="K4" s="144">
        <v>18</v>
      </c>
      <c r="L4" s="145"/>
      <c r="M4" s="37" t="s">
        <v>10</v>
      </c>
      <c r="N4" s="38" t="s">
        <v>76</v>
      </c>
      <c r="O4" s="143" t="s">
        <v>11</v>
      </c>
      <c r="P4" s="146"/>
    </row>
    <row r="5" spans="1:16" ht="15.75" thickBot="1" x14ac:dyDescent="0.3">
      <c r="A5" s="4" t="s">
        <v>480</v>
      </c>
      <c r="B5" s="71" t="s">
        <v>553</v>
      </c>
      <c r="C5" s="5" t="s">
        <v>481</v>
      </c>
      <c r="D5" s="70" t="s">
        <v>554</v>
      </c>
      <c r="E5" s="74"/>
      <c r="F5" s="5" t="s">
        <v>12</v>
      </c>
      <c r="G5" s="147">
        <v>477828000</v>
      </c>
      <c r="H5" s="126"/>
      <c r="I5" s="107" t="s">
        <v>8</v>
      </c>
      <c r="J5" s="108"/>
      <c r="K5" s="148">
        <v>250</v>
      </c>
      <c r="L5" s="149"/>
      <c r="M5" s="40">
        <v>250</v>
      </c>
      <c r="N5" s="39"/>
      <c r="O5" s="148"/>
      <c r="P5" s="149"/>
    </row>
    <row r="6" spans="1:16" ht="15.75" thickBot="1" x14ac:dyDescent="0.3">
      <c r="A6" s="12"/>
      <c r="B6" s="12"/>
      <c r="C6" s="12"/>
      <c r="D6" s="12"/>
      <c r="E6" s="12"/>
      <c r="F6" s="12"/>
      <c r="G6" s="12"/>
      <c r="H6" s="12"/>
      <c r="I6" s="12"/>
      <c r="J6" s="12"/>
      <c r="K6" s="12"/>
      <c r="L6" s="12"/>
      <c r="M6" s="12"/>
      <c r="N6" s="12"/>
      <c r="O6" s="12"/>
      <c r="P6" s="12"/>
    </row>
    <row r="7" spans="1:16" ht="15.75" thickBot="1" x14ac:dyDescent="0.3">
      <c r="A7" s="138" t="s">
        <v>31</v>
      </c>
      <c r="B7" s="139"/>
      <c r="C7" s="131"/>
      <c r="D7" s="131"/>
      <c r="E7" s="131"/>
      <c r="F7" s="131"/>
      <c r="G7" s="139" t="s">
        <v>32</v>
      </c>
      <c r="H7" s="139"/>
      <c r="I7" s="140"/>
      <c r="J7" s="140"/>
      <c r="K7" s="140"/>
      <c r="L7" s="139" t="s">
        <v>33</v>
      </c>
      <c r="M7" s="139"/>
      <c r="N7" s="131"/>
      <c r="O7" s="131"/>
      <c r="P7" s="132"/>
    </row>
    <row r="8" spans="1:16" ht="15.75" thickBot="1" x14ac:dyDescent="0.3">
      <c r="A8" s="133"/>
      <c r="B8" s="133"/>
      <c r="C8" s="133"/>
      <c r="D8" s="133"/>
      <c r="E8" s="133"/>
      <c r="F8" s="133"/>
      <c r="G8" s="133"/>
      <c r="H8" s="133"/>
      <c r="I8" s="133"/>
      <c r="J8" s="133"/>
      <c r="K8" s="133"/>
      <c r="L8" s="133"/>
      <c r="M8" s="133"/>
      <c r="N8" s="133"/>
      <c r="O8" s="133"/>
      <c r="P8" s="133"/>
    </row>
    <row r="9" spans="1:16" ht="15.75" thickBot="1" x14ac:dyDescent="0.3">
      <c r="A9" s="111" t="s">
        <v>13</v>
      </c>
      <c r="B9" s="112"/>
      <c r="C9" s="112"/>
      <c r="D9" s="112"/>
      <c r="E9" s="112"/>
      <c r="F9" s="112"/>
      <c r="G9" s="112"/>
      <c r="H9" s="112"/>
      <c r="I9" s="112"/>
      <c r="J9" s="112"/>
      <c r="K9" s="112"/>
      <c r="L9" s="112"/>
      <c r="M9" s="112"/>
      <c r="N9" s="112"/>
      <c r="O9" s="112"/>
      <c r="P9" s="113"/>
    </row>
    <row r="10" spans="1:16" s="6" customFormat="1" x14ac:dyDescent="0.25">
      <c r="A10" s="134" t="s">
        <v>1</v>
      </c>
      <c r="B10" s="135"/>
      <c r="C10" s="135" t="s">
        <v>3</v>
      </c>
      <c r="D10" s="135"/>
      <c r="E10" s="135" t="s">
        <v>4</v>
      </c>
      <c r="F10" s="135"/>
      <c r="G10" s="104" t="s">
        <v>20</v>
      </c>
      <c r="H10" s="105"/>
      <c r="I10" s="104" t="s">
        <v>21</v>
      </c>
      <c r="J10" s="136"/>
      <c r="K10" s="102" t="s">
        <v>5</v>
      </c>
      <c r="L10" s="102"/>
      <c r="M10" s="102"/>
      <c r="N10" s="102"/>
      <c r="O10" s="102"/>
      <c r="P10" s="137"/>
    </row>
    <row r="11" spans="1:16" x14ac:dyDescent="0.25">
      <c r="A11" s="118" t="s">
        <v>436</v>
      </c>
      <c r="B11" s="119"/>
      <c r="C11" s="119" t="s">
        <v>186</v>
      </c>
      <c r="D11" s="119"/>
      <c r="E11" s="119" t="s">
        <v>45</v>
      </c>
      <c r="F11" s="119"/>
      <c r="G11" s="120">
        <v>477828030</v>
      </c>
      <c r="H11" s="121"/>
      <c r="I11" s="120"/>
      <c r="J11" s="122"/>
      <c r="K11" s="129" t="s">
        <v>437</v>
      </c>
      <c r="L11" s="129"/>
      <c r="M11" s="129"/>
      <c r="N11" s="129"/>
      <c r="O11" s="129"/>
      <c r="P11" s="130"/>
    </row>
    <row r="12" spans="1:16" x14ac:dyDescent="0.25">
      <c r="A12" s="118" t="s">
        <v>438</v>
      </c>
      <c r="B12" s="119"/>
      <c r="C12" s="119" t="s">
        <v>439</v>
      </c>
      <c r="D12" s="119"/>
      <c r="E12" s="119" t="s">
        <v>440</v>
      </c>
      <c r="F12" s="119"/>
      <c r="G12" s="120"/>
      <c r="H12" s="121"/>
      <c r="I12" s="120"/>
      <c r="J12" s="122"/>
      <c r="K12" s="158" t="s">
        <v>441</v>
      </c>
      <c r="L12" s="123"/>
      <c r="M12" s="123"/>
      <c r="N12" s="123"/>
      <c r="O12" s="123"/>
      <c r="P12" s="124"/>
    </row>
    <row r="13" spans="1:16" x14ac:dyDescent="0.25">
      <c r="A13" s="118" t="s">
        <v>442</v>
      </c>
      <c r="B13" s="119"/>
      <c r="C13" s="119" t="s">
        <v>443</v>
      </c>
      <c r="D13" s="119"/>
      <c r="E13" s="119" t="s">
        <v>379</v>
      </c>
      <c r="F13" s="119"/>
      <c r="G13" s="120"/>
      <c r="H13" s="121"/>
      <c r="I13" s="120"/>
      <c r="J13" s="122"/>
      <c r="K13" s="158" t="s">
        <v>444</v>
      </c>
      <c r="L13" s="123"/>
      <c r="M13" s="123"/>
      <c r="N13" s="123"/>
      <c r="O13" s="123"/>
      <c r="P13" s="124"/>
    </row>
    <row r="14" spans="1:16" x14ac:dyDescent="0.25">
      <c r="A14" s="118"/>
      <c r="B14" s="119"/>
      <c r="C14" s="119"/>
      <c r="D14" s="119"/>
      <c r="E14" s="119"/>
      <c r="F14" s="119"/>
      <c r="G14" s="120"/>
      <c r="H14" s="121"/>
      <c r="I14" s="120"/>
      <c r="J14" s="122"/>
      <c r="K14" s="123"/>
      <c r="L14" s="123"/>
      <c r="M14" s="123"/>
      <c r="N14" s="123"/>
      <c r="O14" s="123"/>
      <c r="P14" s="124"/>
    </row>
    <row r="15" spans="1:16" x14ac:dyDescent="0.25">
      <c r="A15" s="118"/>
      <c r="B15" s="119"/>
      <c r="C15" s="119"/>
      <c r="D15" s="119"/>
      <c r="E15" s="119"/>
      <c r="F15" s="119"/>
      <c r="G15" s="120"/>
      <c r="H15" s="121"/>
      <c r="I15" s="120"/>
      <c r="J15" s="122"/>
      <c r="K15" s="123"/>
      <c r="L15" s="123"/>
      <c r="M15" s="123"/>
      <c r="N15" s="123"/>
      <c r="O15" s="123"/>
      <c r="P15" s="124"/>
    </row>
    <row r="16" spans="1:16" ht="15.75" thickBot="1" x14ac:dyDescent="0.3">
      <c r="A16" s="125"/>
      <c r="B16" s="109"/>
      <c r="C16" s="109"/>
      <c r="D16" s="109"/>
      <c r="E16" s="109"/>
      <c r="F16" s="109"/>
      <c r="G16" s="126"/>
      <c r="H16" s="127"/>
      <c r="I16" s="126"/>
      <c r="J16" s="128"/>
      <c r="K16" s="116"/>
      <c r="L16" s="116"/>
      <c r="M16" s="116"/>
      <c r="N16" s="116"/>
      <c r="O16" s="116"/>
      <c r="P16" s="117"/>
    </row>
    <row r="17" spans="1:17" ht="15.75" thickBot="1" x14ac:dyDescent="0.3">
      <c r="A17" s="100"/>
      <c r="B17" s="100"/>
      <c r="C17" s="100"/>
      <c r="D17" s="100"/>
      <c r="E17" s="100"/>
      <c r="F17" s="100"/>
      <c r="G17" s="100"/>
      <c r="H17" s="100"/>
      <c r="I17" s="100"/>
      <c r="J17" s="100"/>
      <c r="K17" s="100"/>
      <c r="L17" s="100"/>
      <c r="M17" s="100"/>
      <c r="N17" s="100"/>
      <c r="O17" s="100"/>
      <c r="P17" s="100"/>
    </row>
    <row r="18" spans="1:17" x14ac:dyDescent="0.25">
      <c r="A18" s="101" t="s">
        <v>23</v>
      </c>
      <c r="B18" s="102"/>
      <c r="C18" s="102"/>
      <c r="D18" s="103"/>
      <c r="E18" s="103"/>
      <c r="F18" s="103"/>
      <c r="G18" s="103"/>
      <c r="H18" s="103"/>
      <c r="I18" s="103"/>
      <c r="J18" s="104" t="s">
        <v>25</v>
      </c>
      <c r="K18" s="105"/>
      <c r="L18" s="103"/>
      <c r="M18" s="103"/>
      <c r="N18" s="103"/>
      <c r="O18" s="103"/>
      <c r="P18" s="106"/>
    </row>
    <row r="19" spans="1:17" ht="15.75" thickBot="1" x14ac:dyDescent="0.3">
      <c r="A19" s="107" t="s">
        <v>24</v>
      </c>
      <c r="B19" s="108"/>
      <c r="C19" s="108"/>
      <c r="D19" s="109"/>
      <c r="E19" s="109"/>
      <c r="F19" s="109"/>
      <c r="G19" s="109"/>
      <c r="H19" s="109"/>
      <c r="I19" s="109"/>
      <c r="J19" s="108" t="s">
        <v>26</v>
      </c>
      <c r="K19" s="108"/>
      <c r="L19" s="109"/>
      <c r="M19" s="109"/>
      <c r="N19" s="109"/>
      <c r="O19" s="109"/>
      <c r="P19" s="110"/>
    </row>
    <row r="20" spans="1:17" ht="15.75" thickBot="1" x14ac:dyDescent="0.3">
      <c r="A20" s="100"/>
      <c r="B20" s="100"/>
      <c r="C20" s="100"/>
      <c r="D20" s="100"/>
      <c r="E20" s="100"/>
      <c r="F20" s="100"/>
      <c r="G20" s="100"/>
      <c r="H20" s="100"/>
      <c r="I20" s="100"/>
      <c r="J20" s="100"/>
      <c r="K20" s="100"/>
      <c r="L20" s="100"/>
      <c r="M20" s="100"/>
      <c r="N20" s="100"/>
      <c r="O20" s="100"/>
      <c r="P20" s="100"/>
    </row>
    <row r="21" spans="1:17" ht="15.75" thickBot="1" x14ac:dyDescent="0.3">
      <c r="A21" s="111" t="s">
        <v>27</v>
      </c>
      <c r="B21" s="112"/>
      <c r="C21" s="112" t="s">
        <v>28</v>
      </c>
      <c r="D21" s="112"/>
      <c r="E21" s="112"/>
      <c r="F21" s="112"/>
      <c r="G21" s="112"/>
      <c r="H21" s="112"/>
      <c r="I21" s="112"/>
      <c r="J21" s="112"/>
      <c r="K21" s="112"/>
      <c r="L21" s="112"/>
      <c r="M21" s="112"/>
      <c r="N21" s="112"/>
      <c r="O21" s="112"/>
      <c r="P21" s="113"/>
      <c r="Q21" s="7"/>
    </row>
    <row r="22" spans="1:17" ht="30" customHeight="1" x14ac:dyDescent="0.25">
      <c r="A22" s="114">
        <v>42152</v>
      </c>
      <c r="B22" s="115"/>
      <c r="C22" s="91" t="s">
        <v>445</v>
      </c>
      <c r="D22" s="91"/>
      <c r="E22" s="91"/>
      <c r="F22" s="91"/>
      <c r="G22" s="91"/>
      <c r="H22" s="91"/>
      <c r="I22" s="91"/>
      <c r="J22" s="91"/>
      <c r="K22" s="91"/>
      <c r="L22" s="91"/>
      <c r="M22" s="91"/>
      <c r="N22" s="91"/>
      <c r="O22" s="91"/>
      <c r="P22" s="92"/>
      <c r="Q22" s="7"/>
    </row>
    <row r="23" spans="1:17" ht="30" customHeight="1" x14ac:dyDescent="0.25">
      <c r="A23" s="89"/>
      <c r="B23" s="90"/>
      <c r="C23" s="97"/>
      <c r="D23" s="98"/>
      <c r="E23" s="98"/>
      <c r="F23" s="98"/>
      <c r="G23" s="98"/>
      <c r="H23" s="98"/>
      <c r="I23" s="98"/>
      <c r="J23" s="98"/>
      <c r="K23" s="98"/>
      <c r="L23" s="98"/>
      <c r="M23" s="98"/>
      <c r="N23" s="98"/>
      <c r="O23" s="98"/>
      <c r="P23" s="99"/>
      <c r="Q23" s="7"/>
    </row>
    <row r="24" spans="1:17" ht="30" customHeight="1" x14ac:dyDescent="0.25">
      <c r="A24" s="89"/>
      <c r="B24" s="90"/>
      <c r="C24" s="91"/>
      <c r="D24" s="91"/>
      <c r="E24" s="91"/>
      <c r="F24" s="91"/>
      <c r="G24" s="91"/>
      <c r="H24" s="91"/>
      <c r="I24" s="91"/>
      <c r="J24" s="91"/>
      <c r="K24" s="91"/>
      <c r="L24" s="91"/>
      <c r="M24" s="91"/>
      <c r="N24" s="91"/>
      <c r="O24" s="91"/>
      <c r="P24" s="92"/>
      <c r="Q24" s="7"/>
    </row>
    <row r="25" spans="1:17" ht="30" customHeight="1" x14ac:dyDescent="0.25">
      <c r="A25" s="89"/>
      <c r="B25" s="90"/>
      <c r="C25" s="91"/>
      <c r="D25" s="91"/>
      <c r="E25" s="91"/>
      <c r="F25" s="91"/>
      <c r="G25" s="91"/>
      <c r="H25" s="91"/>
      <c r="I25" s="91"/>
      <c r="J25" s="91"/>
      <c r="K25" s="91"/>
      <c r="L25" s="91"/>
      <c r="M25" s="91"/>
      <c r="N25" s="91"/>
      <c r="O25" s="91"/>
      <c r="P25" s="92"/>
    </row>
    <row r="26" spans="1:17" ht="30" customHeight="1" thickBot="1" x14ac:dyDescent="0.3">
      <c r="A26" s="93"/>
      <c r="B26" s="94"/>
      <c r="C26" s="95"/>
      <c r="D26" s="95"/>
      <c r="E26" s="95"/>
      <c r="F26" s="95"/>
      <c r="G26" s="95"/>
      <c r="H26" s="95"/>
      <c r="I26" s="95"/>
      <c r="J26" s="95"/>
      <c r="K26" s="95"/>
      <c r="L26" s="95"/>
      <c r="M26" s="95"/>
      <c r="N26" s="95"/>
      <c r="O26" s="95"/>
      <c r="P26" s="96"/>
    </row>
  </sheetData>
  <mergeCells count="86">
    <mergeCell ref="A1:P1"/>
    <mergeCell ref="A2:P2"/>
    <mergeCell ref="B3:H3"/>
    <mergeCell ref="I3:J3"/>
    <mergeCell ref="K3:L3"/>
    <mergeCell ref="M3:P3"/>
    <mergeCell ref="N7:P7"/>
    <mergeCell ref="B4:H4"/>
    <mergeCell ref="I4:J4"/>
    <mergeCell ref="K4:L4"/>
    <mergeCell ref="O4:P4"/>
    <mergeCell ref="G5:H5"/>
    <mergeCell ref="I5:J5"/>
    <mergeCell ref="K5:L5"/>
    <mergeCell ref="O5:P5"/>
    <mergeCell ref="A7:B7"/>
    <mergeCell ref="C7:F7"/>
    <mergeCell ref="G7:H7"/>
    <mergeCell ref="I7:K7"/>
    <mergeCell ref="L7:M7"/>
    <mergeCell ref="A8:P8"/>
    <mergeCell ref="A9:P9"/>
    <mergeCell ref="A10:B10"/>
    <mergeCell ref="C10:D10"/>
    <mergeCell ref="E10:F10"/>
    <mergeCell ref="G10:H10"/>
    <mergeCell ref="I10:J10"/>
    <mergeCell ref="K10:P10"/>
    <mergeCell ref="K12:P12"/>
    <mergeCell ref="A11:B11"/>
    <mergeCell ref="C11:D11"/>
    <mergeCell ref="E11:F11"/>
    <mergeCell ref="G11:H11"/>
    <mergeCell ref="I11:J11"/>
    <mergeCell ref="K11:P11"/>
    <mergeCell ref="A12:B12"/>
    <mergeCell ref="C12:D12"/>
    <mergeCell ref="E12:F12"/>
    <mergeCell ref="G12:H12"/>
    <mergeCell ref="I12:J12"/>
    <mergeCell ref="K14:P14"/>
    <mergeCell ref="A13:B13"/>
    <mergeCell ref="C13:D13"/>
    <mergeCell ref="E13:F13"/>
    <mergeCell ref="G13:H13"/>
    <mergeCell ref="I13:J13"/>
    <mergeCell ref="K13:P13"/>
    <mergeCell ref="A14:B14"/>
    <mergeCell ref="C14:D14"/>
    <mergeCell ref="E14:F14"/>
    <mergeCell ref="G14:H14"/>
    <mergeCell ref="I14:J14"/>
    <mergeCell ref="K16:P16"/>
    <mergeCell ref="A15:B15"/>
    <mergeCell ref="C15:D15"/>
    <mergeCell ref="E15:F15"/>
    <mergeCell ref="G15:H15"/>
    <mergeCell ref="I15:J15"/>
    <mergeCell ref="K15:P15"/>
    <mergeCell ref="A16:B16"/>
    <mergeCell ref="C16:D16"/>
    <mergeCell ref="E16:F16"/>
    <mergeCell ref="G16:H16"/>
    <mergeCell ref="I16:J16"/>
    <mergeCell ref="A23:B23"/>
    <mergeCell ref="C23:P23"/>
    <mergeCell ref="A17:P17"/>
    <mergeCell ref="A18:C18"/>
    <mergeCell ref="D18:I18"/>
    <mergeCell ref="J18:K18"/>
    <mergeCell ref="L18:P18"/>
    <mergeCell ref="A19:C19"/>
    <mergeCell ref="D19:I19"/>
    <mergeCell ref="J19:K19"/>
    <mergeCell ref="L19:P19"/>
    <mergeCell ref="A20:P20"/>
    <mergeCell ref="A21:B21"/>
    <mergeCell ref="C21:P21"/>
    <mergeCell ref="A22:B22"/>
    <mergeCell ref="C22:P22"/>
    <mergeCell ref="A24:B24"/>
    <mergeCell ref="C24:P24"/>
    <mergeCell ref="A25:B25"/>
    <mergeCell ref="C25:P25"/>
    <mergeCell ref="A26:B26"/>
    <mergeCell ref="C26:P26"/>
  </mergeCells>
  <hyperlinks>
    <hyperlink ref="K11" r:id="rId1"/>
    <hyperlink ref="K12" r:id="rId2"/>
    <hyperlink ref="K13" r:id="rId3"/>
  </hyperlinks>
  <pageMargins left="0.25" right="0.25" top="0.75" bottom="0.75" header="0.3" footer="0.3"/>
  <pageSetup paperSize="9" orientation="landscape" horizontalDpi="0" verticalDpi="0" r:id="rId4"/>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1"/>
  <dimension ref="A1:Q26"/>
  <sheetViews>
    <sheetView tabSelected="1" zoomScale="115" zoomScaleNormal="115" workbookViewId="0">
      <selection activeCell="M5" sqref="M5:N5"/>
    </sheetView>
  </sheetViews>
  <sheetFormatPr baseColWidth="10" defaultColWidth="9.140625" defaultRowHeight="15" x14ac:dyDescent="0.25"/>
  <cols>
    <col min="1" max="16" width="8.7109375" style="1" customWidth="1"/>
    <col min="17" max="16384" width="9.140625" style="1"/>
  </cols>
  <sheetData>
    <row r="1" spans="1:16" ht="28.5" x14ac:dyDescent="0.25">
      <c r="A1" s="150" t="s">
        <v>420</v>
      </c>
      <c r="B1" s="150"/>
      <c r="C1" s="150"/>
      <c r="D1" s="150"/>
      <c r="E1" s="150"/>
      <c r="F1" s="150"/>
      <c r="G1" s="150"/>
      <c r="H1" s="150"/>
      <c r="I1" s="150"/>
      <c r="J1" s="150"/>
      <c r="K1" s="150"/>
      <c r="L1" s="150"/>
      <c r="M1" s="150"/>
      <c r="N1" s="150"/>
      <c r="O1" s="150"/>
      <c r="P1" s="150"/>
    </row>
    <row r="2" spans="1:16" ht="23.25" customHeight="1" thickBot="1" x14ac:dyDescent="0.3">
      <c r="A2" s="151"/>
      <c r="B2" s="151"/>
      <c r="C2" s="151"/>
      <c r="D2" s="151"/>
      <c r="E2" s="151"/>
      <c r="F2" s="151"/>
      <c r="G2" s="151"/>
      <c r="H2" s="151"/>
      <c r="I2" s="151"/>
      <c r="J2" s="151"/>
      <c r="K2" s="151"/>
      <c r="L2" s="151"/>
      <c r="M2" s="151"/>
      <c r="N2" s="151"/>
      <c r="O2" s="151"/>
      <c r="P2" s="151"/>
    </row>
    <row r="3" spans="1:16" x14ac:dyDescent="0.25">
      <c r="A3" s="2" t="s">
        <v>1</v>
      </c>
      <c r="B3" s="103" t="s">
        <v>421</v>
      </c>
      <c r="C3" s="103"/>
      <c r="D3" s="103"/>
      <c r="E3" s="103"/>
      <c r="F3" s="103"/>
      <c r="G3" s="103"/>
      <c r="H3" s="152"/>
      <c r="I3" s="101" t="s">
        <v>6</v>
      </c>
      <c r="J3" s="102"/>
      <c r="K3" s="153" t="s">
        <v>37</v>
      </c>
      <c r="L3" s="154"/>
      <c r="M3" s="101" t="s">
        <v>9</v>
      </c>
      <c r="N3" s="102"/>
      <c r="O3" s="102"/>
      <c r="P3" s="137"/>
    </row>
    <row r="4" spans="1:16" x14ac:dyDescent="0.25">
      <c r="A4" s="3" t="s">
        <v>2</v>
      </c>
      <c r="B4" s="119" t="s">
        <v>422</v>
      </c>
      <c r="C4" s="119"/>
      <c r="D4" s="119"/>
      <c r="E4" s="119"/>
      <c r="F4" s="119"/>
      <c r="G4" s="119"/>
      <c r="H4" s="141"/>
      <c r="I4" s="142" t="s">
        <v>7</v>
      </c>
      <c r="J4" s="143"/>
      <c r="K4" s="144">
        <v>20</v>
      </c>
      <c r="L4" s="145"/>
      <c r="M4" s="37" t="s">
        <v>10</v>
      </c>
      <c r="N4" s="38" t="s">
        <v>76</v>
      </c>
      <c r="O4" s="143" t="s">
        <v>11</v>
      </c>
      <c r="P4" s="146"/>
    </row>
    <row r="5" spans="1:16" ht="15.75" thickBot="1" x14ac:dyDescent="0.3">
      <c r="A5" s="4" t="s">
        <v>480</v>
      </c>
      <c r="B5" s="71" t="s">
        <v>555</v>
      </c>
      <c r="C5" s="5" t="s">
        <v>481</v>
      </c>
      <c r="D5" s="70" t="s">
        <v>556</v>
      </c>
      <c r="E5" s="74"/>
      <c r="F5" s="5" t="s">
        <v>12</v>
      </c>
      <c r="G5" s="147">
        <v>272278000</v>
      </c>
      <c r="H5" s="126"/>
      <c r="I5" s="107" t="s">
        <v>8</v>
      </c>
      <c r="J5" s="108"/>
      <c r="K5" s="148"/>
      <c r="L5" s="149"/>
      <c r="M5" s="40">
        <v>150</v>
      </c>
      <c r="N5" s="39"/>
      <c r="O5" s="148"/>
      <c r="P5" s="149"/>
    </row>
    <row r="6" spans="1:16" ht="15.75" thickBot="1" x14ac:dyDescent="0.3">
      <c r="A6" s="12"/>
      <c r="B6" s="12"/>
      <c r="C6" s="12"/>
      <c r="D6" s="12"/>
      <c r="E6" s="12"/>
      <c r="F6" s="12"/>
      <c r="G6" s="12"/>
      <c r="H6" s="12"/>
      <c r="I6" s="12"/>
      <c r="J6" s="12"/>
      <c r="K6" s="12"/>
      <c r="L6" s="12"/>
      <c r="M6" s="12"/>
      <c r="N6" s="12"/>
      <c r="O6" s="12"/>
      <c r="P6" s="12"/>
    </row>
    <row r="7" spans="1:16" ht="15.75" thickBot="1" x14ac:dyDescent="0.3">
      <c r="A7" s="138" t="s">
        <v>31</v>
      </c>
      <c r="B7" s="139"/>
      <c r="C7" s="131"/>
      <c r="D7" s="131"/>
      <c r="E7" s="131"/>
      <c r="F7" s="131"/>
      <c r="G7" s="139" t="s">
        <v>32</v>
      </c>
      <c r="H7" s="139"/>
      <c r="I7" s="140"/>
      <c r="J7" s="140"/>
      <c r="K7" s="140"/>
      <c r="L7" s="139" t="s">
        <v>33</v>
      </c>
      <c r="M7" s="139"/>
      <c r="N7" s="131"/>
      <c r="O7" s="131"/>
      <c r="P7" s="132"/>
    </row>
    <row r="8" spans="1:16" ht="15.75" thickBot="1" x14ac:dyDescent="0.3">
      <c r="A8" s="133"/>
      <c r="B8" s="133"/>
      <c r="C8" s="133"/>
      <c r="D8" s="133"/>
      <c r="E8" s="133"/>
      <c r="F8" s="133"/>
      <c r="G8" s="133"/>
      <c r="H8" s="133"/>
      <c r="I8" s="133"/>
      <c r="J8" s="133"/>
      <c r="K8" s="133"/>
      <c r="L8" s="133"/>
      <c r="M8" s="133"/>
      <c r="N8" s="133"/>
      <c r="O8" s="133"/>
      <c r="P8" s="133"/>
    </row>
    <row r="9" spans="1:16" ht="15.75" thickBot="1" x14ac:dyDescent="0.3">
      <c r="A9" s="111" t="s">
        <v>13</v>
      </c>
      <c r="B9" s="112"/>
      <c r="C9" s="112"/>
      <c r="D9" s="112"/>
      <c r="E9" s="112"/>
      <c r="F9" s="112"/>
      <c r="G9" s="112"/>
      <c r="H9" s="112"/>
      <c r="I9" s="112"/>
      <c r="J9" s="112"/>
      <c r="K9" s="112"/>
      <c r="L9" s="112"/>
      <c r="M9" s="112"/>
      <c r="N9" s="112"/>
      <c r="O9" s="112"/>
      <c r="P9" s="113"/>
    </row>
    <row r="10" spans="1:16" s="6" customFormat="1" x14ac:dyDescent="0.25">
      <c r="A10" s="134" t="s">
        <v>1</v>
      </c>
      <c r="B10" s="135"/>
      <c r="C10" s="135" t="s">
        <v>3</v>
      </c>
      <c r="D10" s="135"/>
      <c r="E10" s="135" t="s">
        <v>4</v>
      </c>
      <c r="F10" s="135"/>
      <c r="G10" s="104" t="s">
        <v>20</v>
      </c>
      <c r="H10" s="105"/>
      <c r="I10" s="104" t="s">
        <v>21</v>
      </c>
      <c r="J10" s="136"/>
      <c r="K10" s="102" t="s">
        <v>5</v>
      </c>
      <c r="L10" s="102"/>
      <c r="M10" s="102"/>
      <c r="N10" s="102"/>
      <c r="O10" s="102"/>
      <c r="P10" s="137"/>
    </row>
    <row r="11" spans="1:16" x14ac:dyDescent="0.25">
      <c r="A11" s="118" t="s">
        <v>423</v>
      </c>
      <c r="B11" s="119"/>
      <c r="C11" s="119" t="s">
        <v>424</v>
      </c>
      <c r="D11" s="119"/>
      <c r="E11" s="119" t="s">
        <v>45</v>
      </c>
      <c r="F11" s="119"/>
      <c r="G11" s="120">
        <v>272278146</v>
      </c>
      <c r="H11" s="121"/>
      <c r="I11" s="120"/>
      <c r="J11" s="122"/>
      <c r="K11" s="129" t="s">
        <v>425</v>
      </c>
      <c r="L11" s="129"/>
      <c r="M11" s="129"/>
      <c r="N11" s="129"/>
      <c r="O11" s="129"/>
      <c r="P11" s="130"/>
    </row>
    <row r="12" spans="1:16" x14ac:dyDescent="0.25">
      <c r="A12" s="118"/>
      <c r="B12" s="119"/>
      <c r="C12" s="119"/>
      <c r="D12" s="119"/>
      <c r="E12" s="119"/>
      <c r="F12" s="119"/>
      <c r="G12" s="120"/>
      <c r="H12" s="121"/>
      <c r="I12" s="120"/>
      <c r="J12" s="122"/>
      <c r="K12" s="123"/>
      <c r="L12" s="123"/>
      <c r="M12" s="123"/>
      <c r="N12" s="123"/>
      <c r="O12" s="123"/>
      <c r="P12" s="124"/>
    </row>
    <row r="13" spans="1:16" x14ac:dyDescent="0.25">
      <c r="A13" s="118"/>
      <c r="B13" s="119"/>
      <c r="C13" s="119"/>
      <c r="D13" s="119"/>
      <c r="E13" s="119"/>
      <c r="F13" s="119"/>
      <c r="G13" s="120"/>
      <c r="H13" s="121"/>
      <c r="I13" s="120"/>
      <c r="J13" s="122"/>
      <c r="K13" s="123"/>
      <c r="L13" s="123"/>
      <c r="M13" s="123"/>
      <c r="N13" s="123"/>
      <c r="O13" s="123"/>
      <c r="P13" s="124"/>
    </row>
    <row r="14" spans="1:16" x14ac:dyDescent="0.25">
      <c r="A14" s="118"/>
      <c r="B14" s="119"/>
      <c r="C14" s="119"/>
      <c r="D14" s="119"/>
      <c r="E14" s="119"/>
      <c r="F14" s="119"/>
      <c r="G14" s="120"/>
      <c r="H14" s="121"/>
      <c r="I14" s="120"/>
      <c r="J14" s="122"/>
      <c r="K14" s="123"/>
      <c r="L14" s="123"/>
      <c r="M14" s="123"/>
      <c r="N14" s="123"/>
      <c r="O14" s="123"/>
      <c r="P14" s="124"/>
    </row>
    <row r="15" spans="1:16" x14ac:dyDescent="0.25">
      <c r="A15" s="118"/>
      <c r="B15" s="119"/>
      <c r="C15" s="119"/>
      <c r="D15" s="119"/>
      <c r="E15" s="119"/>
      <c r="F15" s="119"/>
      <c r="G15" s="120"/>
      <c r="H15" s="121"/>
      <c r="I15" s="120"/>
      <c r="J15" s="122"/>
      <c r="K15" s="123"/>
      <c r="L15" s="123"/>
      <c r="M15" s="123"/>
      <c r="N15" s="123"/>
      <c r="O15" s="123"/>
      <c r="P15" s="124"/>
    </row>
    <row r="16" spans="1:16" ht="15.75" thickBot="1" x14ac:dyDescent="0.3">
      <c r="A16" s="125"/>
      <c r="B16" s="109"/>
      <c r="C16" s="109"/>
      <c r="D16" s="109"/>
      <c r="E16" s="109"/>
      <c r="F16" s="109"/>
      <c r="G16" s="126"/>
      <c r="H16" s="127"/>
      <c r="I16" s="126"/>
      <c r="J16" s="128"/>
      <c r="K16" s="116"/>
      <c r="L16" s="116"/>
      <c r="M16" s="116"/>
      <c r="N16" s="116"/>
      <c r="O16" s="116"/>
      <c r="P16" s="117"/>
    </row>
    <row r="17" spans="1:17" ht="15.75" thickBot="1" x14ac:dyDescent="0.3">
      <c r="A17" s="100"/>
      <c r="B17" s="100"/>
      <c r="C17" s="100"/>
      <c r="D17" s="100"/>
      <c r="E17" s="100"/>
      <c r="F17" s="100"/>
      <c r="G17" s="100"/>
      <c r="H17" s="100"/>
      <c r="I17" s="100"/>
      <c r="J17" s="100"/>
      <c r="K17" s="100"/>
      <c r="L17" s="100"/>
      <c r="M17" s="100"/>
      <c r="N17" s="100"/>
      <c r="O17" s="100"/>
      <c r="P17" s="100"/>
    </row>
    <row r="18" spans="1:17" x14ac:dyDescent="0.25">
      <c r="A18" s="101" t="s">
        <v>23</v>
      </c>
      <c r="B18" s="102"/>
      <c r="C18" s="102"/>
      <c r="D18" s="103"/>
      <c r="E18" s="103"/>
      <c r="F18" s="103"/>
      <c r="G18" s="103"/>
      <c r="H18" s="103"/>
      <c r="I18" s="103"/>
      <c r="J18" s="104" t="s">
        <v>25</v>
      </c>
      <c r="K18" s="105"/>
      <c r="L18" s="103"/>
      <c r="M18" s="103"/>
      <c r="N18" s="103"/>
      <c r="O18" s="103"/>
      <c r="P18" s="106"/>
    </row>
    <row r="19" spans="1:17" ht="15.75" thickBot="1" x14ac:dyDescent="0.3">
      <c r="A19" s="107" t="s">
        <v>24</v>
      </c>
      <c r="B19" s="108"/>
      <c r="C19" s="108"/>
      <c r="D19" s="109"/>
      <c r="E19" s="109"/>
      <c r="F19" s="109"/>
      <c r="G19" s="109"/>
      <c r="H19" s="109"/>
      <c r="I19" s="109"/>
      <c r="J19" s="108" t="s">
        <v>26</v>
      </c>
      <c r="K19" s="108"/>
      <c r="L19" s="109"/>
      <c r="M19" s="109"/>
      <c r="N19" s="109"/>
      <c r="O19" s="109"/>
      <c r="P19" s="110"/>
    </row>
    <row r="20" spans="1:17" ht="15.75" thickBot="1" x14ac:dyDescent="0.3">
      <c r="A20" s="100"/>
      <c r="B20" s="100"/>
      <c r="C20" s="100"/>
      <c r="D20" s="100"/>
      <c r="E20" s="100"/>
      <c r="F20" s="100"/>
      <c r="G20" s="100"/>
      <c r="H20" s="100"/>
      <c r="I20" s="100"/>
      <c r="J20" s="100"/>
      <c r="K20" s="100"/>
      <c r="L20" s="100"/>
      <c r="M20" s="100"/>
      <c r="N20" s="100"/>
      <c r="O20" s="100"/>
      <c r="P20" s="100"/>
    </row>
    <row r="21" spans="1:17" ht="15.75" thickBot="1" x14ac:dyDescent="0.3">
      <c r="A21" s="111" t="s">
        <v>27</v>
      </c>
      <c r="B21" s="112"/>
      <c r="C21" s="112" t="s">
        <v>28</v>
      </c>
      <c r="D21" s="112"/>
      <c r="E21" s="112"/>
      <c r="F21" s="112"/>
      <c r="G21" s="112"/>
      <c r="H21" s="112"/>
      <c r="I21" s="112"/>
      <c r="J21" s="112"/>
      <c r="K21" s="112"/>
      <c r="L21" s="112"/>
      <c r="M21" s="112"/>
      <c r="N21" s="112"/>
      <c r="O21" s="112"/>
      <c r="P21" s="113"/>
      <c r="Q21" s="7"/>
    </row>
    <row r="22" spans="1:17" ht="30" customHeight="1" x14ac:dyDescent="0.25">
      <c r="A22" s="114">
        <v>42152</v>
      </c>
      <c r="B22" s="115"/>
      <c r="C22" s="91" t="s">
        <v>426</v>
      </c>
      <c r="D22" s="91"/>
      <c r="E22" s="91"/>
      <c r="F22" s="91"/>
      <c r="G22" s="91"/>
      <c r="H22" s="91"/>
      <c r="I22" s="91"/>
      <c r="J22" s="91"/>
      <c r="K22" s="91"/>
      <c r="L22" s="91"/>
      <c r="M22" s="91"/>
      <c r="N22" s="91"/>
      <c r="O22" s="91"/>
      <c r="P22" s="92"/>
      <c r="Q22" s="7"/>
    </row>
    <row r="23" spans="1:17" ht="30" customHeight="1" x14ac:dyDescent="0.25">
      <c r="A23" s="89"/>
      <c r="B23" s="90"/>
      <c r="C23" s="97"/>
      <c r="D23" s="98"/>
      <c r="E23" s="98"/>
      <c r="F23" s="98"/>
      <c r="G23" s="98"/>
      <c r="H23" s="98"/>
      <c r="I23" s="98"/>
      <c r="J23" s="98"/>
      <c r="K23" s="98"/>
      <c r="L23" s="98"/>
      <c r="M23" s="98"/>
      <c r="N23" s="98"/>
      <c r="O23" s="98"/>
      <c r="P23" s="99"/>
      <c r="Q23" s="7"/>
    </row>
    <row r="24" spans="1:17" ht="30" customHeight="1" x14ac:dyDescent="0.25">
      <c r="A24" s="89"/>
      <c r="B24" s="90"/>
      <c r="C24" s="91"/>
      <c r="D24" s="91"/>
      <c r="E24" s="91"/>
      <c r="F24" s="91"/>
      <c r="G24" s="91"/>
      <c r="H24" s="91"/>
      <c r="I24" s="91"/>
      <c r="J24" s="91"/>
      <c r="K24" s="91"/>
      <c r="L24" s="91"/>
      <c r="M24" s="91"/>
      <c r="N24" s="91"/>
      <c r="O24" s="91"/>
      <c r="P24" s="92"/>
      <c r="Q24" s="7"/>
    </row>
    <row r="25" spans="1:17" ht="30" customHeight="1" x14ac:dyDescent="0.25">
      <c r="A25" s="89"/>
      <c r="B25" s="90"/>
      <c r="C25" s="91"/>
      <c r="D25" s="91"/>
      <c r="E25" s="91"/>
      <c r="F25" s="91"/>
      <c r="G25" s="91"/>
      <c r="H25" s="91"/>
      <c r="I25" s="91"/>
      <c r="J25" s="91"/>
      <c r="K25" s="91"/>
      <c r="L25" s="91"/>
      <c r="M25" s="91"/>
      <c r="N25" s="91"/>
      <c r="O25" s="91"/>
      <c r="P25" s="92"/>
    </row>
    <row r="26" spans="1:17" ht="30" customHeight="1" thickBot="1" x14ac:dyDescent="0.3">
      <c r="A26" s="93"/>
      <c r="B26" s="94"/>
      <c r="C26" s="95"/>
      <c r="D26" s="95"/>
      <c r="E26" s="95"/>
      <c r="F26" s="95"/>
      <c r="G26" s="95"/>
      <c r="H26" s="95"/>
      <c r="I26" s="95"/>
      <c r="J26" s="95"/>
      <c r="K26" s="95"/>
      <c r="L26" s="95"/>
      <c r="M26" s="95"/>
      <c r="N26" s="95"/>
      <c r="O26" s="95"/>
      <c r="P26" s="96"/>
    </row>
  </sheetData>
  <mergeCells count="86">
    <mergeCell ref="A1:P1"/>
    <mergeCell ref="A2:P2"/>
    <mergeCell ref="B3:H3"/>
    <mergeCell ref="I3:J3"/>
    <mergeCell ref="K3:L3"/>
    <mergeCell ref="M3:P3"/>
    <mergeCell ref="N7:P7"/>
    <mergeCell ref="B4:H4"/>
    <mergeCell ref="I4:J4"/>
    <mergeCell ref="K4:L4"/>
    <mergeCell ref="O4:P4"/>
    <mergeCell ref="G5:H5"/>
    <mergeCell ref="I5:J5"/>
    <mergeCell ref="K5:L5"/>
    <mergeCell ref="O5:P5"/>
    <mergeCell ref="A7:B7"/>
    <mergeCell ref="C7:F7"/>
    <mergeCell ref="G7:H7"/>
    <mergeCell ref="I7:K7"/>
    <mergeCell ref="L7:M7"/>
    <mergeCell ref="A8:P8"/>
    <mergeCell ref="A9:P9"/>
    <mergeCell ref="A10:B10"/>
    <mergeCell ref="C10:D10"/>
    <mergeCell ref="E10:F10"/>
    <mergeCell ref="G10:H10"/>
    <mergeCell ref="I10:J10"/>
    <mergeCell ref="K10:P10"/>
    <mergeCell ref="K12:P12"/>
    <mergeCell ref="A11:B11"/>
    <mergeCell ref="C11:D11"/>
    <mergeCell ref="E11:F11"/>
    <mergeCell ref="G11:H11"/>
    <mergeCell ref="I11:J11"/>
    <mergeCell ref="K11:P11"/>
    <mergeCell ref="A12:B12"/>
    <mergeCell ref="C12:D12"/>
    <mergeCell ref="E12:F12"/>
    <mergeCell ref="G12:H12"/>
    <mergeCell ref="I12:J12"/>
    <mergeCell ref="K14:P14"/>
    <mergeCell ref="A13:B13"/>
    <mergeCell ref="C13:D13"/>
    <mergeCell ref="E13:F13"/>
    <mergeCell ref="G13:H13"/>
    <mergeCell ref="I13:J13"/>
    <mergeCell ref="K13:P13"/>
    <mergeCell ref="A14:B14"/>
    <mergeCell ref="C14:D14"/>
    <mergeCell ref="E14:F14"/>
    <mergeCell ref="G14:H14"/>
    <mergeCell ref="I14:J14"/>
    <mergeCell ref="K16:P16"/>
    <mergeCell ref="A15:B15"/>
    <mergeCell ref="C15:D15"/>
    <mergeCell ref="E15:F15"/>
    <mergeCell ref="G15:H15"/>
    <mergeCell ref="I15:J15"/>
    <mergeCell ref="K15:P15"/>
    <mergeCell ref="A16:B16"/>
    <mergeCell ref="C16:D16"/>
    <mergeCell ref="E16:F16"/>
    <mergeCell ref="G16:H16"/>
    <mergeCell ref="I16:J16"/>
    <mergeCell ref="A23:B23"/>
    <mergeCell ref="C23:P23"/>
    <mergeCell ref="A17:P17"/>
    <mergeCell ref="A18:C18"/>
    <mergeCell ref="D18:I18"/>
    <mergeCell ref="J18:K18"/>
    <mergeCell ref="L18:P18"/>
    <mergeCell ref="A19:C19"/>
    <mergeCell ref="D19:I19"/>
    <mergeCell ref="J19:K19"/>
    <mergeCell ref="L19:P19"/>
    <mergeCell ref="A20:P20"/>
    <mergeCell ref="A21:B21"/>
    <mergeCell ref="C21:P21"/>
    <mergeCell ref="A22:B22"/>
    <mergeCell ref="C22:P22"/>
    <mergeCell ref="A24:B24"/>
    <mergeCell ref="C24:P24"/>
    <mergeCell ref="A25:B25"/>
    <mergeCell ref="C25:P25"/>
    <mergeCell ref="A26:B26"/>
    <mergeCell ref="C26:P26"/>
  </mergeCells>
  <hyperlinks>
    <hyperlink ref="K11" r:id="rId1"/>
  </hyperlinks>
  <pageMargins left="0.25" right="0.25" top="0.75" bottom="0.75" header="0.3" footer="0.3"/>
  <pageSetup paperSize="9" orientation="landscape" horizontalDpi="0" verticalDpi="0"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2"/>
  <dimension ref="A1:Q26"/>
  <sheetViews>
    <sheetView tabSelected="1" zoomScale="115" zoomScaleNormal="115" workbookViewId="0">
      <selection activeCell="M5" sqref="M5:N5"/>
    </sheetView>
  </sheetViews>
  <sheetFormatPr baseColWidth="10" defaultColWidth="9.140625" defaultRowHeight="15" x14ac:dyDescent="0.25"/>
  <cols>
    <col min="1" max="16" width="8.7109375" style="1" customWidth="1"/>
    <col min="17" max="16384" width="9.140625" style="1"/>
  </cols>
  <sheetData>
    <row r="1" spans="1:16" ht="28.5" x14ac:dyDescent="0.25">
      <c r="A1" s="150" t="s">
        <v>427</v>
      </c>
      <c r="B1" s="150"/>
      <c r="C1" s="150"/>
      <c r="D1" s="150"/>
      <c r="E1" s="150"/>
      <c r="F1" s="150"/>
      <c r="G1" s="150"/>
      <c r="H1" s="150"/>
      <c r="I1" s="150"/>
      <c r="J1" s="150"/>
      <c r="K1" s="150"/>
      <c r="L1" s="150"/>
      <c r="M1" s="150"/>
      <c r="N1" s="150"/>
      <c r="O1" s="150"/>
      <c r="P1" s="150"/>
    </row>
    <row r="2" spans="1:16" ht="23.25" customHeight="1" thickBot="1" x14ac:dyDescent="0.3">
      <c r="A2" s="151"/>
      <c r="B2" s="151"/>
      <c r="C2" s="151"/>
      <c r="D2" s="151"/>
      <c r="E2" s="151"/>
      <c r="F2" s="151"/>
      <c r="G2" s="151"/>
      <c r="H2" s="151"/>
      <c r="I2" s="151"/>
      <c r="J2" s="151"/>
      <c r="K2" s="151"/>
      <c r="L2" s="151"/>
      <c r="M2" s="151"/>
      <c r="N2" s="151"/>
      <c r="O2" s="151"/>
      <c r="P2" s="151"/>
    </row>
    <row r="3" spans="1:16" x14ac:dyDescent="0.25">
      <c r="A3" s="2" t="s">
        <v>1</v>
      </c>
      <c r="B3" s="103" t="s">
        <v>428</v>
      </c>
      <c r="C3" s="103"/>
      <c r="D3" s="103"/>
      <c r="E3" s="103"/>
      <c r="F3" s="103"/>
      <c r="G3" s="103"/>
      <c r="H3" s="152"/>
      <c r="I3" s="101" t="s">
        <v>6</v>
      </c>
      <c r="J3" s="102"/>
      <c r="K3" s="153" t="s">
        <v>37</v>
      </c>
      <c r="L3" s="154"/>
      <c r="M3" s="101" t="s">
        <v>9</v>
      </c>
      <c r="N3" s="102"/>
      <c r="O3" s="102"/>
      <c r="P3" s="137"/>
    </row>
    <row r="4" spans="1:16" x14ac:dyDescent="0.25">
      <c r="A4" s="3" t="s">
        <v>2</v>
      </c>
      <c r="B4" s="119" t="s">
        <v>429</v>
      </c>
      <c r="C4" s="119"/>
      <c r="D4" s="119"/>
      <c r="E4" s="119"/>
      <c r="F4" s="119"/>
      <c r="G4" s="119"/>
      <c r="H4" s="141"/>
      <c r="I4" s="142" t="s">
        <v>7</v>
      </c>
      <c r="J4" s="143"/>
      <c r="K4" s="144">
        <v>14</v>
      </c>
      <c r="L4" s="145"/>
      <c r="M4" s="37" t="s">
        <v>10</v>
      </c>
      <c r="N4" s="38" t="s">
        <v>76</v>
      </c>
      <c r="O4" s="143" t="s">
        <v>11</v>
      </c>
      <c r="P4" s="146"/>
    </row>
    <row r="5" spans="1:16" ht="15.75" thickBot="1" x14ac:dyDescent="0.3">
      <c r="A5" s="4" t="s">
        <v>480</v>
      </c>
      <c r="B5" s="71" t="s">
        <v>557</v>
      </c>
      <c r="C5" s="5" t="s">
        <v>481</v>
      </c>
      <c r="D5" s="70" t="s">
        <v>427</v>
      </c>
      <c r="E5" s="74"/>
      <c r="F5" s="5" t="s">
        <v>12</v>
      </c>
      <c r="G5" s="147">
        <v>546951515</v>
      </c>
      <c r="H5" s="126"/>
      <c r="I5" s="107" t="s">
        <v>8</v>
      </c>
      <c r="J5" s="108"/>
      <c r="K5" s="148">
        <v>300</v>
      </c>
      <c r="L5" s="149"/>
      <c r="M5" s="40"/>
      <c r="N5" s="39"/>
      <c r="O5" s="148">
        <v>36</v>
      </c>
      <c r="P5" s="149"/>
    </row>
    <row r="6" spans="1:16" ht="15.75" thickBot="1" x14ac:dyDescent="0.3">
      <c r="A6" s="12"/>
      <c r="B6" s="12"/>
      <c r="C6" s="12"/>
      <c r="D6" s="12"/>
      <c r="E6" s="12"/>
      <c r="F6" s="12"/>
      <c r="G6" s="12"/>
      <c r="H6" s="12"/>
      <c r="I6" s="12"/>
      <c r="J6" s="12"/>
      <c r="K6" s="12"/>
      <c r="L6" s="12"/>
      <c r="M6" s="12"/>
      <c r="N6" s="12"/>
      <c r="O6" s="12"/>
      <c r="P6" s="12"/>
    </row>
    <row r="7" spans="1:16" ht="15.75" thickBot="1" x14ac:dyDescent="0.3">
      <c r="A7" s="138" t="s">
        <v>31</v>
      </c>
      <c r="B7" s="139"/>
      <c r="C7" s="131"/>
      <c r="D7" s="131"/>
      <c r="E7" s="131"/>
      <c r="F7" s="131"/>
      <c r="G7" s="139" t="s">
        <v>32</v>
      </c>
      <c r="H7" s="139"/>
      <c r="I7" s="140"/>
      <c r="J7" s="140"/>
      <c r="K7" s="140"/>
      <c r="L7" s="139" t="s">
        <v>33</v>
      </c>
      <c r="M7" s="139"/>
      <c r="N7" s="131"/>
      <c r="O7" s="131"/>
      <c r="P7" s="132"/>
    </row>
    <row r="8" spans="1:16" ht="15.75" thickBot="1" x14ac:dyDescent="0.3">
      <c r="A8" s="133"/>
      <c r="B8" s="133"/>
      <c r="C8" s="133"/>
      <c r="D8" s="133"/>
      <c r="E8" s="133"/>
      <c r="F8" s="133"/>
      <c r="G8" s="133"/>
      <c r="H8" s="133"/>
      <c r="I8" s="133"/>
      <c r="J8" s="133"/>
      <c r="K8" s="133"/>
      <c r="L8" s="133"/>
      <c r="M8" s="133"/>
      <c r="N8" s="133"/>
      <c r="O8" s="133"/>
      <c r="P8" s="133"/>
    </row>
    <row r="9" spans="1:16" ht="15.75" thickBot="1" x14ac:dyDescent="0.3">
      <c r="A9" s="111" t="s">
        <v>13</v>
      </c>
      <c r="B9" s="112"/>
      <c r="C9" s="112"/>
      <c r="D9" s="112"/>
      <c r="E9" s="112"/>
      <c r="F9" s="112"/>
      <c r="G9" s="112"/>
      <c r="H9" s="112"/>
      <c r="I9" s="112"/>
      <c r="J9" s="112"/>
      <c r="K9" s="112"/>
      <c r="L9" s="112"/>
      <c r="M9" s="112"/>
      <c r="N9" s="112"/>
      <c r="O9" s="112"/>
      <c r="P9" s="113"/>
    </row>
    <row r="10" spans="1:16" s="6" customFormat="1" x14ac:dyDescent="0.25">
      <c r="A10" s="134" t="s">
        <v>1</v>
      </c>
      <c r="B10" s="135"/>
      <c r="C10" s="135" t="s">
        <v>3</v>
      </c>
      <c r="D10" s="135"/>
      <c r="E10" s="135" t="s">
        <v>4</v>
      </c>
      <c r="F10" s="135"/>
      <c r="G10" s="104" t="s">
        <v>20</v>
      </c>
      <c r="H10" s="105"/>
      <c r="I10" s="104" t="s">
        <v>21</v>
      </c>
      <c r="J10" s="136"/>
      <c r="K10" s="102" t="s">
        <v>5</v>
      </c>
      <c r="L10" s="102"/>
      <c r="M10" s="102"/>
      <c r="N10" s="102"/>
      <c r="O10" s="102"/>
      <c r="P10" s="137"/>
    </row>
    <row r="11" spans="1:16" x14ac:dyDescent="0.25">
      <c r="A11" s="118" t="s">
        <v>430</v>
      </c>
      <c r="B11" s="119"/>
      <c r="C11" s="119" t="s">
        <v>110</v>
      </c>
      <c r="D11" s="119"/>
      <c r="E11" s="119" t="s">
        <v>71</v>
      </c>
      <c r="F11" s="119"/>
      <c r="G11" s="120">
        <v>546951315</v>
      </c>
      <c r="H11" s="121"/>
      <c r="I11" s="120"/>
      <c r="J11" s="122"/>
      <c r="K11" s="129" t="s">
        <v>431</v>
      </c>
      <c r="L11" s="129"/>
      <c r="M11" s="129"/>
      <c r="N11" s="129"/>
      <c r="O11" s="129"/>
      <c r="P11" s="130"/>
    </row>
    <row r="12" spans="1:16" x14ac:dyDescent="0.25">
      <c r="A12" s="118"/>
      <c r="B12" s="119"/>
      <c r="C12" s="119"/>
      <c r="D12" s="119"/>
      <c r="E12" s="119"/>
      <c r="F12" s="119"/>
      <c r="G12" s="120"/>
      <c r="H12" s="121"/>
      <c r="I12" s="120"/>
      <c r="J12" s="122"/>
      <c r="K12" s="123"/>
      <c r="L12" s="123"/>
      <c r="M12" s="123"/>
      <c r="N12" s="123"/>
      <c r="O12" s="123"/>
      <c r="P12" s="124"/>
    </row>
    <row r="13" spans="1:16" x14ac:dyDescent="0.25">
      <c r="A13" s="118"/>
      <c r="B13" s="119"/>
      <c r="C13" s="119"/>
      <c r="D13" s="119"/>
      <c r="E13" s="119"/>
      <c r="F13" s="119"/>
      <c r="G13" s="120"/>
      <c r="H13" s="121"/>
      <c r="I13" s="120"/>
      <c r="J13" s="122"/>
      <c r="K13" s="123"/>
      <c r="L13" s="123"/>
      <c r="M13" s="123"/>
      <c r="N13" s="123"/>
      <c r="O13" s="123"/>
      <c r="P13" s="124"/>
    </row>
    <row r="14" spans="1:16" x14ac:dyDescent="0.25">
      <c r="A14" s="118"/>
      <c r="B14" s="119"/>
      <c r="C14" s="119"/>
      <c r="D14" s="119"/>
      <c r="E14" s="119"/>
      <c r="F14" s="119"/>
      <c r="G14" s="120"/>
      <c r="H14" s="121"/>
      <c r="I14" s="120"/>
      <c r="J14" s="122"/>
      <c r="K14" s="123"/>
      <c r="L14" s="123"/>
      <c r="M14" s="123"/>
      <c r="N14" s="123"/>
      <c r="O14" s="123"/>
      <c r="P14" s="124"/>
    </row>
    <row r="15" spans="1:16" x14ac:dyDescent="0.25">
      <c r="A15" s="118"/>
      <c r="B15" s="119"/>
      <c r="C15" s="119"/>
      <c r="D15" s="119"/>
      <c r="E15" s="119"/>
      <c r="F15" s="119"/>
      <c r="G15" s="120"/>
      <c r="H15" s="121"/>
      <c r="I15" s="120"/>
      <c r="J15" s="122"/>
      <c r="K15" s="123"/>
      <c r="L15" s="123"/>
      <c r="M15" s="123"/>
      <c r="N15" s="123"/>
      <c r="O15" s="123"/>
      <c r="P15" s="124"/>
    </row>
    <row r="16" spans="1:16" ht="15.75" thickBot="1" x14ac:dyDescent="0.3">
      <c r="A16" s="125"/>
      <c r="B16" s="109"/>
      <c r="C16" s="109"/>
      <c r="D16" s="109"/>
      <c r="E16" s="109"/>
      <c r="F16" s="109"/>
      <c r="G16" s="126"/>
      <c r="H16" s="127"/>
      <c r="I16" s="126"/>
      <c r="J16" s="128"/>
      <c r="K16" s="116"/>
      <c r="L16" s="116"/>
      <c r="M16" s="116"/>
      <c r="N16" s="116"/>
      <c r="O16" s="116"/>
      <c r="P16" s="117"/>
    </row>
    <row r="17" spans="1:17" ht="15.75" thickBot="1" x14ac:dyDescent="0.3">
      <c r="A17" s="100"/>
      <c r="B17" s="100"/>
      <c r="C17" s="100"/>
      <c r="D17" s="100"/>
      <c r="E17" s="100"/>
      <c r="F17" s="100"/>
      <c r="G17" s="100"/>
      <c r="H17" s="100"/>
      <c r="I17" s="100"/>
      <c r="J17" s="100"/>
      <c r="K17" s="100"/>
      <c r="L17" s="100"/>
      <c r="M17" s="100"/>
      <c r="N17" s="100"/>
      <c r="O17" s="100"/>
      <c r="P17" s="100"/>
    </row>
    <row r="18" spans="1:17" x14ac:dyDescent="0.25">
      <c r="A18" s="101" t="s">
        <v>23</v>
      </c>
      <c r="B18" s="102"/>
      <c r="C18" s="102"/>
      <c r="D18" s="103"/>
      <c r="E18" s="103"/>
      <c r="F18" s="103"/>
      <c r="G18" s="103"/>
      <c r="H18" s="103"/>
      <c r="I18" s="103"/>
      <c r="J18" s="104" t="s">
        <v>25</v>
      </c>
      <c r="K18" s="105"/>
      <c r="L18" s="103"/>
      <c r="M18" s="103"/>
      <c r="N18" s="103"/>
      <c r="O18" s="103"/>
      <c r="P18" s="106"/>
    </row>
    <row r="19" spans="1:17" ht="15.75" thickBot="1" x14ac:dyDescent="0.3">
      <c r="A19" s="107" t="s">
        <v>24</v>
      </c>
      <c r="B19" s="108"/>
      <c r="C19" s="108"/>
      <c r="D19" s="109"/>
      <c r="E19" s="109"/>
      <c r="F19" s="109"/>
      <c r="G19" s="109"/>
      <c r="H19" s="109"/>
      <c r="I19" s="109"/>
      <c r="J19" s="108" t="s">
        <v>26</v>
      </c>
      <c r="K19" s="108"/>
      <c r="L19" s="109"/>
      <c r="M19" s="109"/>
      <c r="N19" s="109"/>
      <c r="O19" s="109"/>
      <c r="P19" s="110"/>
    </row>
    <row r="20" spans="1:17" ht="15.75" thickBot="1" x14ac:dyDescent="0.3">
      <c r="A20" s="100"/>
      <c r="B20" s="100"/>
      <c r="C20" s="100"/>
      <c r="D20" s="100"/>
      <c r="E20" s="100"/>
      <c r="F20" s="100"/>
      <c r="G20" s="100"/>
      <c r="H20" s="100"/>
      <c r="I20" s="100"/>
      <c r="J20" s="100"/>
      <c r="K20" s="100"/>
      <c r="L20" s="100"/>
      <c r="M20" s="100"/>
      <c r="N20" s="100"/>
      <c r="O20" s="100"/>
      <c r="P20" s="100"/>
    </row>
    <row r="21" spans="1:17" ht="15.75" thickBot="1" x14ac:dyDescent="0.3">
      <c r="A21" s="111" t="s">
        <v>27</v>
      </c>
      <c r="B21" s="112"/>
      <c r="C21" s="112" t="s">
        <v>28</v>
      </c>
      <c r="D21" s="112"/>
      <c r="E21" s="112"/>
      <c r="F21" s="112"/>
      <c r="G21" s="112"/>
      <c r="H21" s="112"/>
      <c r="I21" s="112"/>
      <c r="J21" s="112"/>
      <c r="K21" s="112"/>
      <c r="L21" s="112"/>
      <c r="M21" s="112"/>
      <c r="N21" s="112"/>
      <c r="O21" s="112"/>
      <c r="P21" s="113"/>
      <c r="Q21" s="7"/>
    </row>
    <row r="22" spans="1:17" ht="30" customHeight="1" x14ac:dyDescent="0.25">
      <c r="A22" s="114">
        <v>42152</v>
      </c>
      <c r="B22" s="115"/>
      <c r="C22" s="91" t="s">
        <v>432</v>
      </c>
      <c r="D22" s="91"/>
      <c r="E22" s="91"/>
      <c r="F22" s="91"/>
      <c r="G22" s="91"/>
      <c r="H22" s="91"/>
      <c r="I22" s="91"/>
      <c r="J22" s="91"/>
      <c r="K22" s="91"/>
      <c r="L22" s="91"/>
      <c r="M22" s="91"/>
      <c r="N22" s="91"/>
      <c r="O22" s="91"/>
      <c r="P22" s="92"/>
      <c r="Q22" s="7"/>
    </row>
    <row r="23" spans="1:17" ht="30" customHeight="1" x14ac:dyDescent="0.25">
      <c r="A23" s="89"/>
      <c r="B23" s="90"/>
      <c r="C23" s="97"/>
      <c r="D23" s="98"/>
      <c r="E23" s="98"/>
      <c r="F23" s="98"/>
      <c r="G23" s="98"/>
      <c r="H23" s="98"/>
      <c r="I23" s="98"/>
      <c r="J23" s="98"/>
      <c r="K23" s="98"/>
      <c r="L23" s="98"/>
      <c r="M23" s="98"/>
      <c r="N23" s="98"/>
      <c r="O23" s="98"/>
      <c r="P23" s="99"/>
      <c r="Q23" s="7"/>
    </row>
    <row r="24" spans="1:17" ht="30" customHeight="1" x14ac:dyDescent="0.25">
      <c r="A24" s="89"/>
      <c r="B24" s="90"/>
      <c r="C24" s="91"/>
      <c r="D24" s="91"/>
      <c r="E24" s="91"/>
      <c r="F24" s="91"/>
      <c r="G24" s="91"/>
      <c r="H24" s="91"/>
      <c r="I24" s="91"/>
      <c r="J24" s="91"/>
      <c r="K24" s="91"/>
      <c r="L24" s="91"/>
      <c r="M24" s="91"/>
      <c r="N24" s="91"/>
      <c r="O24" s="91"/>
      <c r="P24" s="92"/>
      <c r="Q24" s="7"/>
    </row>
    <row r="25" spans="1:17" ht="30" customHeight="1" x14ac:dyDescent="0.25">
      <c r="A25" s="89"/>
      <c r="B25" s="90"/>
      <c r="C25" s="91"/>
      <c r="D25" s="91"/>
      <c r="E25" s="91"/>
      <c r="F25" s="91"/>
      <c r="G25" s="91"/>
      <c r="H25" s="91"/>
      <c r="I25" s="91"/>
      <c r="J25" s="91"/>
      <c r="K25" s="91"/>
      <c r="L25" s="91"/>
      <c r="M25" s="91"/>
      <c r="N25" s="91"/>
      <c r="O25" s="91"/>
      <c r="P25" s="92"/>
    </row>
    <row r="26" spans="1:17" ht="30" customHeight="1" thickBot="1" x14ac:dyDescent="0.3">
      <c r="A26" s="93"/>
      <c r="B26" s="94"/>
      <c r="C26" s="95"/>
      <c r="D26" s="95"/>
      <c r="E26" s="95"/>
      <c r="F26" s="95"/>
      <c r="G26" s="95"/>
      <c r="H26" s="95"/>
      <c r="I26" s="95"/>
      <c r="J26" s="95"/>
      <c r="K26" s="95"/>
      <c r="L26" s="95"/>
      <c r="M26" s="95"/>
      <c r="N26" s="95"/>
      <c r="O26" s="95"/>
      <c r="P26" s="96"/>
    </row>
  </sheetData>
  <mergeCells count="86">
    <mergeCell ref="A1:P1"/>
    <mergeCell ref="A2:P2"/>
    <mergeCell ref="B3:H3"/>
    <mergeCell ref="I3:J3"/>
    <mergeCell ref="K3:L3"/>
    <mergeCell ref="M3:P3"/>
    <mergeCell ref="N7:P7"/>
    <mergeCell ref="B4:H4"/>
    <mergeCell ref="I4:J4"/>
    <mergeCell ref="K4:L4"/>
    <mergeCell ref="O4:P4"/>
    <mergeCell ref="G5:H5"/>
    <mergeCell ref="I5:J5"/>
    <mergeCell ref="K5:L5"/>
    <mergeCell ref="O5:P5"/>
    <mergeCell ref="A7:B7"/>
    <mergeCell ref="C7:F7"/>
    <mergeCell ref="G7:H7"/>
    <mergeCell ref="I7:K7"/>
    <mergeCell ref="L7:M7"/>
    <mergeCell ref="A8:P8"/>
    <mergeCell ref="A9:P9"/>
    <mergeCell ref="A10:B10"/>
    <mergeCell ref="C10:D10"/>
    <mergeCell ref="E10:F10"/>
    <mergeCell ref="G10:H10"/>
    <mergeCell ref="I10:J10"/>
    <mergeCell ref="K10:P10"/>
    <mergeCell ref="K12:P12"/>
    <mergeCell ref="A11:B11"/>
    <mergeCell ref="C11:D11"/>
    <mergeCell ref="E11:F11"/>
    <mergeCell ref="G11:H11"/>
    <mergeCell ref="I11:J11"/>
    <mergeCell ref="K11:P11"/>
    <mergeCell ref="A12:B12"/>
    <mergeCell ref="C12:D12"/>
    <mergeCell ref="E12:F12"/>
    <mergeCell ref="G12:H12"/>
    <mergeCell ref="I12:J12"/>
    <mergeCell ref="K14:P14"/>
    <mergeCell ref="A13:B13"/>
    <mergeCell ref="C13:D13"/>
    <mergeCell ref="E13:F13"/>
    <mergeCell ref="G13:H13"/>
    <mergeCell ref="I13:J13"/>
    <mergeCell ref="K13:P13"/>
    <mergeCell ref="A14:B14"/>
    <mergeCell ref="C14:D14"/>
    <mergeCell ref="E14:F14"/>
    <mergeCell ref="G14:H14"/>
    <mergeCell ref="I14:J14"/>
    <mergeCell ref="K16:P16"/>
    <mergeCell ref="A15:B15"/>
    <mergeCell ref="C15:D15"/>
    <mergeCell ref="E15:F15"/>
    <mergeCell ref="G15:H15"/>
    <mergeCell ref="I15:J15"/>
    <mergeCell ref="K15:P15"/>
    <mergeCell ref="A16:B16"/>
    <mergeCell ref="C16:D16"/>
    <mergeCell ref="E16:F16"/>
    <mergeCell ref="G16:H16"/>
    <mergeCell ref="I16:J16"/>
    <mergeCell ref="A23:B23"/>
    <mergeCell ref="C23:P23"/>
    <mergeCell ref="A17:P17"/>
    <mergeCell ref="A18:C18"/>
    <mergeCell ref="D18:I18"/>
    <mergeCell ref="J18:K18"/>
    <mergeCell ref="L18:P18"/>
    <mergeCell ref="A19:C19"/>
    <mergeCell ref="D19:I19"/>
    <mergeCell ref="J19:K19"/>
    <mergeCell ref="L19:P19"/>
    <mergeCell ref="A20:P20"/>
    <mergeCell ref="A21:B21"/>
    <mergeCell ref="C21:P21"/>
    <mergeCell ref="A22:B22"/>
    <mergeCell ref="C22:P22"/>
    <mergeCell ref="A24:B24"/>
    <mergeCell ref="C24:P24"/>
    <mergeCell ref="A25:B25"/>
    <mergeCell ref="C25:P25"/>
    <mergeCell ref="A26:B26"/>
    <mergeCell ref="C26:P26"/>
  </mergeCells>
  <hyperlinks>
    <hyperlink ref="K11" r:id="rId1"/>
  </hyperlinks>
  <pageMargins left="0.25" right="0.25" top="0.75" bottom="0.75" header="0.3" footer="0.3"/>
  <pageSetup paperSize="9" orientation="landscape" horizontalDpi="0" verticalDpi="0"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3"/>
  <dimension ref="A1:Q26"/>
  <sheetViews>
    <sheetView tabSelected="1" zoomScale="115" zoomScaleNormal="115" workbookViewId="0">
      <selection activeCell="M5" sqref="M5:N5"/>
    </sheetView>
  </sheetViews>
  <sheetFormatPr baseColWidth="10" defaultColWidth="9.140625" defaultRowHeight="15" x14ac:dyDescent="0.25"/>
  <cols>
    <col min="1" max="16" width="8.7109375" style="1" customWidth="1"/>
    <col min="17" max="16384" width="9.140625" style="1"/>
  </cols>
  <sheetData>
    <row r="1" spans="1:16" ht="28.5" x14ac:dyDescent="0.25">
      <c r="A1" s="150" t="s">
        <v>413</v>
      </c>
      <c r="B1" s="150"/>
      <c r="C1" s="150"/>
      <c r="D1" s="150"/>
      <c r="E1" s="150"/>
      <c r="F1" s="150"/>
      <c r="G1" s="150"/>
      <c r="H1" s="150"/>
      <c r="I1" s="150"/>
      <c r="J1" s="150"/>
      <c r="K1" s="150"/>
      <c r="L1" s="150"/>
      <c r="M1" s="150"/>
      <c r="N1" s="150"/>
      <c r="O1" s="150"/>
      <c r="P1" s="150"/>
    </row>
    <row r="2" spans="1:16" ht="23.25" customHeight="1" thickBot="1" x14ac:dyDescent="0.3">
      <c r="A2" s="151"/>
      <c r="B2" s="151"/>
      <c r="C2" s="151"/>
      <c r="D2" s="151"/>
      <c r="E2" s="151"/>
      <c r="F2" s="151"/>
      <c r="G2" s="151"/>
      <c r="H2" s="151"/>
      <c r="I2" s="151"/>
      <c r="J2" s="151"/>
      <c r="K2" s="151"/>
      <c r="L2" s="151"/>
      <c r="M2" s="151"/>
      <c r="N2" s="151"/>
      <c r="O2" s="151"/>
      <c r="P2" s="151"/>
    </row>
    <row r="3" spans="1:16" x14ac:dyDescent="0.25">
      <c r="A3" s="2" t="s">
        <v>1</v>
      </c>
      <c r="B3" s="103" t="s">
        <v>414</v>
      </c>
      <c r="C3" s="103"/>
      <c r="D3" s="103"/>
      <c r="E3" s="103"/>
      <c r="F3" s="103"/>
      <c r="G3" s="103"/>
      <c r="H3" s="152"/>
      <c r="I3" s="101" t="s">
        <v>6</v>
      </c>
      <c r="J3" s="102"/>
      <c r="K3" s="153" t="s">
        <v>37</v>
      </c>
      <c r="L3" s="154"/>
      <c r="M3" s="101" t="s">
        <v>9</v>
      </c>
      <c r="N3" s="102"/>
      <c r="O3" s="102"/>
      <c r="P3" s="137"/>
    </row>
    <row r="4" spans="1:16" x14ac:dyDescent="0.25">
      <c r="A4" s="3" t="s">
        <v>2</v>
      </c>
      <c r="B4" s="119" t="s">
        <v>415</v>
      </c>
      <c r="C4" s="119"/>
      <c r="D4" s="119"/>
      <c r="E4" s="119"/>
      <c r="F4" s="119"/>
      <c r="G4" s="119"/>
      <c r="H4" s="141"/>
      <c r="I4" s="142" t="s">
        <v>7</v>
      </c>
      <c r="J4" s="143"/>
      <c r="K4" s="144">
        <v>18</v>
      </c>
      <c r="L4" s="145"/>
      <c r="M4" s="37" t="s">
        <v>10</v>
      </c>
      <c r="N4" s="38" t="s">
        <v>76</v>
      </c>
      <c r="O4" s="143" t="s">
        <v>11</v>
      </c>
      <c r="P4" s="146"/>
    </row>
    <row r="5" spans="1:16" ht="15.75" thickBot="1" x14ac:dyDescent="0.3">
      <c r="A5" s="4" t="s">
        <v>480</v>
      </c>
      <c r="B5" s="71" t="s">
        <v>558</v>
      </c>
      <c r="C5" s="5" t="s">
        <v>481</v>
      </c>
      <c r="D5" s="70" t="s">
        <v>559</v>
      </c>
      <c r="E5" s="74"/>
      <c r="F5" s="5" t="s">
        <v>12</v>
      </c>
      <c r="G5" s="147">
        <v>826207220</v>
      </c>
      <c r="H5" s="126"/>
      <c r="I5" s="107" t="s">
        <v>8</v>
      </c>
      <c r="J5" s="108"/>
      <c r="K5" s="148">
        <v>150</v>
      </c>
      <c r="L5" s="149"/>
      <c r="M5" s="40"/>
      <c r="N5" s="39"/>
      <c r="O5" s="148">
        <v>144</v>
      </c>
      <c r="P5" s="149"/>
    </row>
    <row r="6" spans="1:16" ht="15.75" thickBot="1" x14ac:dyDescent="0.3">
      <c r="A6" s="12"/>
      <c r="B6" s="12"/>
      <c r="C6" s="12"/>
      <c r="D6" s="12"/>
      <c r="E6" s="12"/>
      <c r="F6" s="12"/>
      <c r="G6" s="12"/>
      <c r="H6" s="12"/>
      <c r="I6" s="12"/>
      <c r="J6" s="12"/>
      <c r="K6" s="12"/>
      <c r="L6" s="12"/>
      <c r="M6" s="12"/>
      <c r="N6" s="12"/>
      <c r="O6" s="12"/>
      <c r="P6" s="12"/>
    </row>
    <row r="7" spans="1:16" ht="15.75" thickBot="1" x14ac:dyDescent="0.3">
      <c r="A7" s="138" t="s">
        <v>31</v>
      </c>
      <c r="B7" s="139"/>
      <c r="C7" s="131"/>
      <c r="D7" s="131"/>
      <c r="E7" s="131"/>
      <c r="F7" s="131"/>
      <c r="G7" s="139" t="s">
        <v>32</v>
      </c>
      <c r="H7" s="139"/>
      <c r="I7" s="140"/>
      <c r="J7" s="140"/>
      <c r="K7" s="140"/>
      <c r="L7" s="139" t="s">
        <v>33</v>
      </c>
      <c r="M7" s="139"/>
      <c r="N7" s="131"/>
      <c r="O7" s="131"/>
      <c r="P7" s="132"/>
    </row>
    <row r="8" spans="1:16" ht="15.75" thickBot="1" x14ac:dyDescent="0.3">
      <c r="A8" s="133"/>
      <c r="B8" s="133"/>
      <c r="C8" s="133"/>
      <c r="D8" s="133"/>
      <c r="E8" s="133"/>
      <c r="F8" s="133"/>
      <c r="G8" s="133"/>
      <c r="H8" s="133"/>
      <c r="I8" s="133"/>
      <c r="J8" s="133"/>
      <c r="K8" s="133"/>
      <c r="L8" s="133"/>
      <c r="M8" s="133"/>
      <c r="N8" s="133"/>
      <c r="O8" s="133"/>
      <c r="P8" s="133"/>
    </row>
    <row r="9" spans="1:16" ht="15.75" thickBot="1" x14ac:dyDescent="0.3">
      <c r="A9" s="111" t="s">
        <v>13</v>
      </c>
      <c r="B9" s="112"/>
      <c r="C9" s="112"/>
      <c r="D9" s="112"/>
      <c r="E9" s="112"/>
      <c r="F9" s="112"/>
      <c r="G9" s="112"/>
      <c r="H9" s="112"/>
      <c r="I9" s="112"/>
      <c r="J9" s="112"/>
      <c r="K9" s="112"/>
      <c r="L9" s="112"/>
      <c r="M9" s="112"/>
      <c r="N9" s="112"/>
      <c r="O9" s="112"/>
      <c r="P9" s="113"/>
    </row>
    <row r="10" spans="1:16" s="6" customFormat="1" x14ac:dyDescent="0.25">
      <c r="A10" s="134" t="s">
        <v>1</v>
      </c>
      <c r="B10" s="135"/>
      <c r="C10" s="135" t="s">
        <v>3</v>
      </c>
      <c r="D10" s="135"/>
      <c r="E10" s="135" t="s">
        <v>4</v>
      </c>
      <c r="F10" s="135"/>
      <c r="G10" s="104" t="s">
        <v>20</v>
      </c>
      <c r="H10" s="105"/>
      <c r="I10" s="104" t="s">
        <v>21</v>
      </c>
      <c r="J10" s="136"/>
      <c r="K10" s="102" t="s">
        <v>5</v>
      </c>
      <c r="L10" s="102"/>
      <c r="M10" s="102"/>
      <c r="N10" s="102"/>
      <c r="O10" s="102"/>
      <c r="P10" s="137"/>
    </row>
    <row r="11" spans="1:16" x14ac:dyDescent="0.25">
      <c r="A11" s="118" t="s">
        <v>416</v>
      </c>
      <c r="B11" s="119"/>
      <c r="C11" s="119" t="s">
        <v>417</v>
      </c>
      <c r="D11" s="119"/>
      <c r="E11" s="119" t="s">
        <v>45</v>
      </c>
      <c r="F11" s="119"/>
      <c r="G11" s="120">
        <v>146252676</v>
      </c>
      <c r="H11" s="121"/>
      <c r="I11" s="120"/>
      <c r="J11" s="122"/>
      <c r="K11" s="129" t="s">
        <v>418</v>
      </c>
      <c r="L11" s="129"/>
      <c r="M11" s="129"/>
      <c r="N11" s="129"/>
      <c r="O11" s="129"/>
      <c r="P11" s="130"/>
    </row>
    <row r="12" spans="1:16" x14ac:dyDescent="0.25">
      <c r="A12" s="118"/>
      <c r="B12" s="119"/>
      <c r="C12" s="119"/>
      <c r="D12" s="119"/>
      <c r="E12" s="119"/>
      <c r="F12" s="119"/>
      <c r="G12" s="120"/>
      <c r="H12" s="121"/>
      <c r="I12" s="120"/>
      <c r="J12" s="122"/>
      <c r="K12" s="123"/>
      <c r="L12" s="123"/>
      <c r="M12" s="123"/>
      <c r="N12" s="123"/>
      <c r="O12" s="123"/>
      <c r="P12" s="124"/>
    </row>
    <row r="13" spans="1:16" x14ac:dyDescent="0.25">
      <c r="A13" s="118"/>
      <c r="B13" s="119"/>
      <c r="C13" s="119"/>
      <c r="D13" s="119"/>
      <c r="E13" s="119"/>
      <c r="F13" s="119"/>
      <c r="G13" s="120"/>
      <c r="H13" s="121"/>
      <c r="I13" s="120"/>
      <c r="J13" s="122"/>
      <c r="K13" s="123"/>
      <c r="L13" s="123"/>
      <c r="M13" s="123"/>
      <c r="N13" s="123"/>
      <c r="O13" s="123"/>
      <c r="P13" s="124"/>
    </row>
    <row r="14" spans="1:16" x14ac:dyDescent="0.25">
      <c r="A14" s="118"/>
      <c r="B14" s="119"/>
      <c r="C14" s="119"/>
      <c r="D14" s="119"/>
      <c r="E14" s="119"/>
      <c r="F14" s="119"/>
      <c r="G14" s="120"/>
      <c r="H14" s="121"/>
      <c r="I14" s="120"/>
      <c r="J14" s="122"/>
      <c r="K14" s="123"/>
      <c r="L14" s="123"/>
      <c r="M14" s="123"/>
      <c r="N14" s="123"/>
      <c r="O14" s="123"/>
      <c r="P14" s="124"/>
    </row>
    <row r="15" spans="1:16" x14ac:dyDescent="0.25">
      <c r="A15" s="118"/>
      <c r="B15" s="119"/>
      <c r="C15" s="119"/>
      <c r="D15" s="119"/>
      <c r="E15" s="119"/>
      <c r="F15" s="119"/>
      <c r="G15" s="120"/>
      <c r="H15" s="121"/>
      <c r="I15" s="120"/>
      <c r="J15" s="122"/>
      <c r="K15" s="123"/>
      <c r="L15" s="123"/>
      <c r="M15" s="123"/>
      <c r="N15" s="123"/>
      <c r="O15" s="123"/>
      <c r="P15" s="124"/>
    </row>
    <row r="16" spans="1:16" ht="15.75" thickBot="1" x14ac:dyDescent="0.3">
      <c r="A16" s="125"/>
      <c r="B16" s="109"/>
      <c r="C16" s="109"/>
      <c r="D16" s="109"/>
      <c r="E16" s="109"/>
      <c r="F16" s="109"/>
      <c r="G16" s="126"/>
      <c r="H16" s="127"/>
      <c r="I16" s="126"/>
      <c r="J16" s="128"/>
      <c r="K16" s="116"/>
      <c r="L16" s="116"/>
      <c r="M16" s="116"/>
      <c r="N16" s="116"/>
      <c r="O16" s="116"/>
      <c r="P16" s="117"/>
    </row>
    <row r="17" spans="1:17" ht="15.75" thickBot="1" x14ac:dyDescent="0.3">
      <c r="A17" s="100"/>
      <c r="B17" s="100"/>
      <c r="C17" s="100"/>
      <c r="D17" s="100"/>
      <c r="E17" s="100"/>
      <c r="F17" s="100"/>
      <c r="G17" s="100"/>
      <c r="H17" s="100"/>
      <c r="I17" s="100"/>
      <c r="J17" s="100"/>
      <c r="K17" s="100"/>
      <c r="L17" s="100"/>
      <c r="M17" s="100"/>
      <c r="N17" s="100"/>
      <c r="O17" s="100"/>
      <c r="P17" s="100"/>
    </row>
    <row r="18" spans="1:17" x14ac:dyDescent="0.25">
      <c r="A18" s="101" t="s">
        <v>23</v>
      </c>
      <c r="B18" s="102"/>
      <c r="C18" s="102"/>
      <c r="D18" s="103"/>
      <c r="E18" s="103"/>
      <c r="F18" s="103"/>
      <c r="G18" s="103"/>
      <c r="H18" s="103"/>
      <c r="I18" s="103"/>
      <c r="J18" s="104" t="s">
        <v>25</v>
      </c>
      <c r="K18" s="105"/>
      <c r="L18" s="103"/>
      <c r="M18" s="103"/>
      <c r="N18" s="103"/>
      <c r="O18" s="103"/>
      <c r="P18" s="106"/>
    </row>
    <row r="19" spans="1:17" ht="15.75" thickBot="1" x14ac:dyDescent="0.3">
      <c r="A19" s="107" t="s">
        <v>24</v>
      </c>
      <c r="B19" s="108"/>
      <c r="C19" s="108"/>
      <c r="D19" s="109"/>
      <c r="E19" s="109"/>
      <c r="F19" s="109"/>
      <c r="G19" s="109"/>
      <c r="H19" s="109"/>
      <c r="I19" s="109"/>
      <c r="J19" s="108" t="s">
        <v>26</v>
      </c>
      <c r="K19" s="108"/>
      <c r="L19" s="109"/>
      <c r="M19" s="109"/>
      <c r="N19" s="109"/>
      <c r="O19" s="109"/>
      <c r="P19" s="110"/>
    </row>
    <row r="20" spans="1:17" ht="15.75" thickBot="1" x14ac:dyDescent="0.3">
      <c r="A20" s="100"/>
      <c r="B20" s="100"/>
      <c r="C20" s="100"/>
      <c r="D20" s="100"/>
      <c r="E20" s="100"/>
      <c r="F20" s="100"/>
      <c r="G20" s="100"/>
      <c r="H20" s="100"/>
      <c r="I20" s="100"/>
      <c r="J20" s="100"/>
      <c r="K20" s="100"/>
      <c r="L20" s="100"/>
      <c r="M20" s="100"/>
      <c r="N20" s="100"/>
      <c r="O20" s="100"/>
      <c r="P20" s="100"/>
    </row>
    <row r="21" spans="1:17" ht="15.75" thickBot="1" x14ac:dyDescent="0.3">
      <c r="A21" s="111" t="s">
        <v>27</v>
      </c>
      <c r="B21" s="112"/>
      <c r="C21" s="112" t="s">
        <v>28</v>
      </c>
      <c r="D21" s="112"/>
      <c r="E21" s="112"/>
      <c r="F21" s="112"/>
      <c r="G21" s="112"/>
      <c r="H21" s="112"/>
      <c r="I21" s="112"/>
      <c r="J21" s="112"/>
      <c r="K21" s="112"/>
      <c r="L21" s="112"/>
      <c r="M21" s="112"/>
      <c r="N21" s="112"/>
      <c r="O21" s="112"/>
      <c r="P21" s="113"/>
      <c r="Q21" s="7"/>
    </row>
    <row r="22" spans="1:17" ht="30" customHeight="1" x14ac:dyDescent="0.25">
      <c r="A22" s="114">
        <v>42152</v>
      </c>
      <c r="B22" s="115"/>
      <c r="C22" s="91" t="s">
        <v>419</v>
      </c>
      <c r="D22" s="91"/>
      <c r="E22" s="91"/>
      <c r="F22" s="91"/>
      <c r="G22" s="91"/>
      <c r="H22" s="91"/>
      <c r="I22" s="91"/>
      <c r="J22" s="91"/>
      <c r="K22" s="91"/>
      <c r="L22" s="91"/>
      <c r="M22" s="91"/>
      <c r="N22" s="91"/>
      <c r="O22" s="91"/>
      <c r="P22" s="92"/>
      <c r="Q22" s="7"/>
    </row>
    <row r="23" spans="1:17" ht="30" customHeight="1" x14ac:dyDescent="0.25">
      <c r="A23" s="89"/>
      <c r="B23" s="90"/>
      <c r="C23" s="97"/>
      <c r="D23" s="98"/>
      <c r="E23" s="98"/>
      <c r="F23" s="98"/>
      <c r="G23" s="98"/>
      <c r="H23" s="98"/>
      <c r="I23" s="98"/>
      <c r="J23" s="98"/>
      <c r="K23" s="98"/>
      <c r="L23" s="98"/>
      <c r="M23" s="98"/>
      <c r="N23" s="98"/>
      <c r="O23" s="98"/>
      <c r="P23" s="99"/>
      <c r="Q23" s="7"/>
    </row>
    <row r="24" spans="1:17" ht="30" customHeight="1" x14ac:dyDescent="0.25">
      <c r="A24" s="89"/>
      <c r="B24" s="90"/>
      <c r="C24" s="91"/>
      <c r="D24" s="91"/>
      <c r="E24" s="91"/>
      <c r="F24" s="91"/>
      <c r="G24" s="91"/>
      <c r="H24" s="91"/>
      <c r="I24" s="91"/>
      <c r="J24" s="91"/>
      <c r="K24" s="91"/>
      <c r="L24" s="91"/>
      <c r="M24" s="91"/>
      <c r="N24" s="91"/>
      <c r="O24" s="91"/>
      <c r="P24" s="92"/>
      <c r="Q24" s="7"/>
    </row>
    <row r="25" spans="1:17" ht="30" customHeight="1" x14ac:dyDescent="0.25">
      <c r="A25" s="89"/>
      <c r="B25" s="90"/>
      <c r="C25" s="91"/>
      <c r="D25" s="91"/>
      <c r="E25" s="91"/>
      <c r="F25" s="91"/>
      <c r="G25" s="91"/>
      <c r="H25" s="91"/>
      <c r="I25" s="91"/>
      <c r="J25" s="91"/>
      <c r="K25" s="91"/>
      <c r="L25" s="91"/>
      <c r="M25" s="91"/>
      <c r="N25" s="91"/>
      <c r="O25" s="91"/>
      <c r="P25" s="92"/>
    </row>
    <row r="26" spans="1:17" ht="30" customHeight="1" thickBot="1" x14ac:dyDescent="0.3">
      <c r="A26" s="93"/>
      <c r="B26" s="94"/>
      <c r="C26" s="95"/>
      <c r="D26" s="95"/>
      <c r="E26" s="95"/>
      <c r="F26" s="95"/>
      <c r="G26" s="95"/>
      <c r="H26" s="95"/>
      <c r="I26" s="95"/>
      <c r="J26" s="95"/>
      <c r="K26" s="95"/>
      <c r="L26" s="95"/>
      <c r="M26" s="95"/>
      <c r="N26" s="95"/>
      <c r="O26" s="95"/>
      <c r="P26" s="96"/>
    </row>
  </sheetData>
  <mergeCells count="86">
    <mergeCell ref="A1:P1"/>
    <mergeCell ref="A2:P2"/>
    <mergeCell ref="B3:H3"/>
    <mergeCell ref="I3:J3"/>
    <mergeCell ref="K3:L3"/>
    <mergeCell ref="M3:P3"/>
    <mergeCell ref="N7:P7"/>
    <mergeCell ref="B4:H4"/>
    <mergeCell ref="I4:J4"/>
    <mergeCell ref="K4:L4"/>
    <mergeCell ref="O4:P4"/>
    <mergeCell ref="G5:H5"/>
    <mergeCell ref="I5:J5"/>
    <mergeCell ref="K5:L5"/>
    <mergeCell ref="O5:P5"/>
    <mergeCell ref="A7:B7"/>
    <mergeCell ref="C7:F7"/>
    <mergeCell ref="G7:H7"/>
    <mergeCell ref="I7:K7"/>
    <mergeCell ref="L7:M7"/>
    <mergeCell ref="A8:P8"/>
    <mergeCell ref="A9:P9"/>
    <mergeCell ref="A10:B10"/>
    <mergeCell ref="C10:D10"/>
    <mergeCell ref="E10:F10"/>
    <mergeCell ref="G10:H10"/>
    <mergeCell ref="I10:J10"/>
    <mergeCell ref="K10:P10"/>
    <mergeCell ref="K12:P12"/>
    <mergeCell ref="A11:B11"/>
    <mergeCell ref="C11:D11"/>
    <mergeCell ref="E11:F11"/>
    <mergeCell ref="G11:H11"/>
    <mergeCell ref="I11:J11"/>
    <mergeCell ref="K11:P11"/>
    <mergeCell ref="A12:B12"/>
    <mergeCell ref="C12:D12"/>
    <mergeCell ref="E12:F12"/>
    <mergeCell ref="G12:H12"/>
    <mergeCell ref="I12:J12"/>
    <mergeCell ref="K14:P14"/>
    <mergeCell ref="A13:B13"/>
    <mergeCell ref="C13:D13"/>
    <mergeCell ref="E13:F13"/>
    <mergeCell ref="G13:H13"/>
    <mergeCell ref="I13:J13"/>
    <mergeCell ref="K13:P13"/>
    <mergeCell ref="A14:B14"/>
    <mergeCell ref="C14:D14"/>
    <mergeCell ref="E14:F14"/>
    <mergeCell ref="G14:H14"/>
    <mergeCell ref="I14:J14"/>
    <mergeCell ref="K16:P16"/>
    <mergeCell ref="A15:B15"/>
    <mergeCell ref="C15:D15"/>
    <mergeCell ref="E15:F15"/>
    <mergeCell ref="G15:H15"/>
    <mergeCell ref="I15:J15"/>
    <mergeCell ref="K15:P15"/>
    <mergeCell ref="A16:B16"/>
    <mergeCell ref="C16:D16"/>
    <mergeCell ref="E16:F16"/>
    <mergeCell ref="G16:H16"/>
    <mergeCell ref="I16:J16"/>
    <mergeCell ref="A23:B23"/>
    <mergeCell ref="C23:P23"/>
    <mergeCell ref="A17:P17"/>
    <mergeCell ref="A18:C18"/>
    <mergeCell ref="D18:I18"/>
    <mergeCell ref="J18:K18"/>
    <mergeCell ref="L18:P18"/>
    <mergeCell ref="A19:C19"/>
    <mergeCell ref="D19:I19"/>
    <mergeCell ref="J19:K19"/>
    <mergeCell ref="L19:P19"/>
    <mergeCell ref="A20:P20"/>
    <mergeCell ref="A21:B21"/>
    <mergeCell ref="C21:P21"/>
    <mergeCell ref="A22:B22"/>
    <mergeCell ref="C22:P22"/>
    <mergeCell ref="A24:B24"/>
    <mergeCell ref="C24:P24"/>
    <mergeCell ref="A25:B25"/>
    <mergeCell ref="C25:P25"/>
    <mergeCell ref="A26:B26"/>
    <mergeCell ref="C26:P26"/>
  </mergeCells>
  <hyperlinks>
    <hyperlink ref="K11" r:id="rId1"/>
  </hyperlinks>
  <pageMargins left="0.25" right="0.25" top="0.75" bottom="0.75" header="0.3" footer="0.3"/>
  <pageSetup paperSize="9" orientation="landscape" horizontalDpi="0" verticalDpi="0"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4"/>
  <dimension ref="A1:Q26"/>
  <sheetViews>
    <sheetView tabSelected="1" zoomScale="115" zoomScaleNormal="115" workbookViewId="0">
      <selection activeCell="M5" sqref="M5:N5"/>
    </sheetView>
  </sheetViews>
  <sheetFormatPr baseColWidth="10" defaultColWidth="9.140625" defaultRowHeight="15" x14ac:dyDescent="0.25"/>
  <cols>
    <col min="1" max="16" width="8.7109375" style="1" customWidth="1"/>
    <col min="17" max="16384" width="9.140625" style="1"/>
  </cols>
  <sheetData>
    <row r="1" spans="1:16" ht="28.5" x14ac:dyDescent="0.25">
      <c r="A1" s="150" t="s">
        <v>403</v>
      </c>
      <c r="B1" s="150"/>
      <c r="C1" s="150"/>
      <c r="D1" s="150"/>
      <c r="E1" s="150"/>
      <c r="F1" s="150"/>
      <c r="G1" s="150"/>
      <c r="H1" s="150"/>
      <c r="I1" s="150"/>
      <c r="J1" s="150"/>
      <c r="K1" s="150"/>
      <c r="L1" s="150"/>
      <c r="M1" s="150"/>
      <c r="N1" s="150"/>
      <c r="O1" s="150"/>
      <c r="P1" s="150"/>
    </row>
    <row r="2" spans="1:16" ht="23.25" customHeight="1" thickBot="1" x14ac:dyDescent="0.3">
      <c r="A2" s="151"/>
      <c r="B2" s="151"/>
      <c r="C2" s="151"/>
      <c r="D2" s="151"/>
      <c r="E2" s="151"/>
      <c r="F2" s="151"/>
      <c r="G2" s="151"/>
      <c r="H2" s="151"/>
      <c r="I2" s="151"/>
      <c r="J2" s="151"/>
      <c r="K2" s="151"/>
      <c r="L2" s="151"/>
      <c r="M2" s="151"/>
      <c r="N2" s="151"/>
      <c r="O2" s="151"/>
      <c r="P2" s="151"/>
    </row>
    <row r="3" spans="1:16" x14ac:dyDescent="0.25">
      <c r="A3" s="2" t="s">
        <v>1</v>
      </c>
      <c r="B3" s="103" t="s">
        <v>404</v>
      </c>
      <c r="C3" s="103"/>
      <c r="D3" s="103"/>
      <c r="E3" s="103"/>
      <c r="F3" s="103"/>
      <c r="G3" s="103"/>
      <c r="H3" s="152"/>
      <c r="I3" s="101" t="s">
        <v>6</v>
      </c>
      <c r="J3" s="102"/>
      <c r="K3" s="153">
        <v>3</v>
      </c>
      <c r="L3" s="154"/>
      <c r="M3" s="101" t="s">
        <v>9</v>
      </c>
      <c r="N3" s="102"/>
      <c r="O3" s="102"/>
      <c r="P3" s="137"/>
    </row>
    <row r="4" spans="1:16" x14ac:dyDescent="0.25">
      <c r="A4" s="3" t="s">
        <v>2</v>
      </c>
      <c r="B4" s="119" t="s">
        <v>405</v>
      </c>
      <c r="C4" s="119"/>
      <c r="D4" s="119"/>
      <c r="E4" s="119"/>
      <c r="F4" s="119"/>
      <c r="G4" s="119"/>
      <c r="H4" s="141"/>
      <c r="I4" s="142" t="s">
        <v>7</v>
      </c>
      <c r="J4" s="143"/>
      <c r="K4" s="144">
        <v>16</v>
      </c>
      <c r="L4" s="145"/>
      <c r="M4" s="37" t="s">
        <v>10</v>
      </c>
      <c r="N4" s="38" t="s">
        <v>76</v>
      </c>
      <c r="O4" s="143" t="s">
        <v>11</v>
      </c>
      <c r="P4" s="146"/>
    </row>
    <row r="5" spans="1:16" ht="15.75" thickBot="1" x14ac:dyDescent="0.3">
      <c r="A5" s="4" t="s">
        <v>480</v>
      </c>
      <c r="B5" s="71" t="s">
        <v>560</v>
      </c>
      <c r="C5" s="5" t="s">
        <v>481</v>
      </c>
      <c r="D5" s="70" t="s">
        <v>561</v>
      </c>
      <c r="E5" s="74"/>
      <c r="F5" s="5" t="s">
        <v>12</v>
      </c>
      <c r="G5" s="147">
        <v>388116768</v>
      </c>
      <c r="H5" s="126"/>
      <c r="I5" s="107" t="s">
        <v>8</v>
      </c>
      <c r="J5" s="108"/>
      <c r="K5" s="148">
        <v>550</v>
      </c>
      <c r="L5" s="149"/>
      <c r="M5" s="40"/>
      <c r="N5" s="39"/>
      <c r="O5" s="148">
        <v>500</v>
      </c>
      <c r="P5" s="149"/>
    </row>
    <row r="6" spans="1:16" ht="15.75" thickBot="1" x14ac:dyDescent="0.3">
      <c r="A6" s="12"/>
      <c r="B6" s="12"/>
      <c r="C6" s="12"/>
      <c r="D6" s="12"/>
      <c r="E6" s="12"/>
      <c r="F6" s="12"/>
      <c r="G6" s="12"/>
      <c r="H6" s="12"/>
      <c r="I6" s="12"/>
      <c r="J6" s="12"/>
      <c r="K6" s="12"/>
      <c r="L6" s="12"/>
      <c r="M6" s="12"/>
      <c r="N6" s="12"/>
      <c r="O6" s="12"/>
      <c r="P6" s="12"/>
    </row>
    <row r="7" spans="1:16" ht="15.75" thickBot="1" x14ac:dyDescent="0.3">
      <c r="A7" s="138" t="s">
        <v>31</v>
      </c>
      <c r="B7" s="139"/>
      <c r="C7" s="131"/>
      <c r="D7" s="131"/>
      <c r="E7" s="131"/>
      <c r="F7" s="131"/>
      <c r="G7" s="139" t="s">
        <v>32</v>
      </c>
      <c r="H7" s="139"/>
      <c r="I7" s="140"/>
      <c r="J7" s="140"/>
      <c r="K7" s="140"/>
      <c r="L7" s="139" t="s">
        <v>33</v>
      </c>
      <c r="M7" s="139"/>
      <c r="N7" s="131"/>
      <c r="O7" s="131"/>
      <c r="P7" s="132"/>
    </row>
    <row r="8" spans="1:16" ht="15.75" thickBot="1" x14ac:dyDescent="0.3">
      <c r="A8" s="133"/>
      <c r="B8" s="133"/>
      <c r="C8" s="133"/>
      <c r="D8" s="133"/>
      <c r="E8" s="133"/>
      <c r="F8" s="133"/>
      <c r="G8" s="133"/>
      <c r="H8" s="133"/>
      <c r="I8" s="133"/>
      <c r="J8" s="133"/>
      <c r="K8" s="133"/>
      <c r="L8" s="133"/>
      <c r="M8" s="133"/>
      <c r="N8" s="133"/>
      <c r="O8" s="133"/>
      <c r="P8" s="133"/>
    </row>
    <row r="9" spans="1:16" ht="15.75" thickBot="1" x14ac:dyDescent="0.3">
      <c r="A9" s="111" t="s">
        <v>13</v>
      </c>
      <c r="B9" s="112"/>
      <c r="C9" s="112"/>
      <c r="D9" s="112"/>
      <c r="E9" s="112"/>
      <c r="F9" s="112"/>
      <c r="G9" s="112"/>
      <c r="H9" s="112"/>
      <c r="I9" s="112"/>
      <c r="J9" s="112"/>
      <c r="K9" s="112"/>
      <c r="L9" s="112"/>
      <c r="M9" s="112"/>
      <c r="N9" s="112"/>
      <c r="O9" s="112"/>
      <c r="P9" s="113"/>
    </row>
    <row r="10" spans="1:16" s="6" customFormat="1" x14ac:dyDescent="0.25">
      <c r="A10" s="134" t="s">
        <v>1</v>
      </c>
      <c r="B10" s="135"/>
      <c r="C10" s="135" t="s">
        <v>3</v>
      </c>
      <c r="D10" s="135"/>
      <c r="E10" s="135" t="s">
        <v>4</v>
      </c>
      <c r="F10" s="135"/>
      <c r="G10" s="104" t="s">
        <v>20</v>
      </c>
      <c r="H10" s="105"/>
      <c r="I10" s="104" t="s">
        <v>21</v>
      </c>
      <c r="J10" s="136"/>
      <c r="K10" s="102" t="s">
        <v>5</v>
      </c>
      <c r="L10" s="102"/>
      <c r="M10" s="102"/>
      <c r="N10" s="102"/>
      <c r="O10" s="102"/>
      <c r="P10" s="137"/>
    </row>
    <row r="11" spans="1:16" x14ac:dyDescent="0.25">
      <c r="A11" s="118" t="s">
        <v>406</v>
      </c>
      <c r="B11" s="119"/>
      <c r="C11" s="119" t="s">
        <v>407</v>
      </c>
      <c r="D11" s="119"/>
      <c r="E11" s="119" t="s">
        <v>173</v>
      </c>
      <c r="F11" s="119"/>
      <c r="G11" s="120">
        <v>388127760</v>
      </c>
      <c r="H11" s="121"/>
      <c r="I11" s="120"/>
      <c r="J11" s="122"/>
      <c r="K11" s="129" t="s">
        <v>408</v>
      </c>
      <c r="L11" s="129"/>
      <c r="M11" s="129"/>
      <c r="N11" s="129"/>
      <c r="O11" s="129"/>
      <c r="P11" s="130"/>
    </row>
    <row r="12" spans="1:16" x14ac:dyDescent="0.25">
      <c r="A12" s="118" t="s">
        <v>409</v>
      </c>
      <c r="B12" s="119"/>
      <c r="C12" s="119" t="s">
        <v>410</v>
      </c>
      <c r="D12" s="119"/>
      <c r="E12" s="119" t="s">
        <v>45</v>
      </c>
      <c r="F12" s="119"/>
      <c r="G12" s="120">
        <v>388127741</v>
      </c>
      <c r="H12" s="121"/>
      <c r="I12" s="120"/>
      <c r="J12" s="122"/>
      <c r="K12" s="158" t="s">
        <v>411</v>
      </c>
      <c r="L12" s="123"/>
      <c r="M12" s="123"/>
      <c r="N12" s="123"/>
      <c r="O12" s="123"/>
      <c r="P12" s="124"/>
    </row>
    <row r="13" spans="1:16" x14ac:dyDescent="0.25">
      <c r="A13" s="118"/>
      <c r="B13" s="119"/>
      <c r="C13" s="119"/>
      <c r="D13" s="119"/>
      <c r="E13" s="119"/>
      <c r="F13" s="119"/>
      <c r="G13" s="120"/>
      <c r="H13" s="121"/>
      <c r="I13" s="120"/>
      <c r="J13" s="122"/>
      <c r="K13" s="123"/>
      <c r="L13" s="123"/>
      <c r="M13" s="123"/>
      <c r="N13" s="123"/>
      <c r="O13" s="123"/>
      <c r="P13" s="124"/>
    </row>
    <row r="14" spans="1:16" x14ac:dyDescent="0.25">
      <c r="A14" s="118"/>
      <c r="B14" s="119"/>
      <c r="C14" s="119"/>
      <c r="D14" s="119"/>
      <c r="E14" s="119"/>
      <c r="F14" s="119"/>
      <c r="G14" s="120"/>
      <c r="H14" s="121"/>
      <c r="I14" s="120"/>
      <c r="J14" s="122"/>
      <c r="K14" s="123"/>
      <c r="L14" s="123"/>
      <c r="M14" s="123"/>
      <c r="N14" s="123"/>
      <c r="O14" s="123"/>
      <c r="P14" s="124"/>
    </row>
    <row r="15" spans="1:16" x14ac:dyDescent="0.25">
      <c r="A15" s="118"/>
      <c r="B15" s="119"/>
      <c r="C15" s="119"/>
      <c r="D15" s="119"/>
      <c r="E15" s="119"/>
      <c r="F15" s="119"/>
      <c r="G15" s="120"/>
      <c r="H15" s="121"/>
      <c r="I15" s="120"/>
      <c r="J15" s="122"/>
      <c r="K15" s="123"/>
      <c r="L15" s="123"/>
      <c r="M15" s="123"/>
      <c r="N15" s="123"/>
      <c r="O15" s="123"/>
      <c r="P15" s="124"/>
    </row>
    <row r="16" spans="1:16" ht="15.75" thickBot="1" x14ac:dyDescent="0.3">
      <c r="A16" s="125"/>
      <c r="B16" s="109"/>
      <c r="C16" s="109"/>
      <c r="D16" s="109"/>
      <c r="E16" s="109"/>
      <c r="F16" s="109"/>
      <c r="G16" s="126"/>
      <c r="H16" s="127"/>
      <c r="I16" s="126"/>
      <c r="J16" s="128"/>
      <c r="K16" s="116"/>
      <c r="L16" s="116"/>
      <c r="M16" s="116"/>
      <c r="N16" s="116"/>
      <c r="O16" s="116"/>
      <c r="P16" s="117"/>
    </row>
    <row r="17" spans="1:17" ht="15.75" thickBot="1" x14ac:dyDescent="0.3">
      <c r="A17" s="100"/>
      <c r="B17" s="100"/>
      <c r="C17" s="100"/>
      <c r="D17" s="100"/>
      <c r="E17" s="100"/>
      <c r="F17" s="100"/>
      <c r="G17" s="100"/>
      <c r="H17" s="100"/>
      <c r="I17" s="100"/>
      <c r="J17" s="100"/>
      <c r="K17" s="100"/>
      <c r="L17" s="100"/>
      <c r="M17" s="100"/>
      <c r="N17" s="100"/>
      <c r="O17" s="100"/>
      <c r="P17" s="100"/>
    </row>
    <row r="18" spans="1:17" x14ac:dyDescent="0.25">
      <c r="A18" s="101" t="s">
        <v>23</v>
      </c>
      <c r="B18" s="102"/>
      <c r="C18" s="102"/>
      <c r="D18" s="103"/>
      <c r="E18" s="103"/>
      <c r="F18" s="103"/>
      <c r="G18" s="103"/>
      <c r="H18" s="103"/>
      <c r="I18" s="103"/>
      <c r="J18" s="104" t="s">
        <v>25</v>
      </c>
      <c r="K18" s="105"/>
      <c r="L18" s="103"/>
      <c r="M18" s="103"/>
      <c r="N18" s="103"/>
      <c r="O18" s="103"/>
      <c r="P18" s="106"/>
    </row>
    <row r="19" spans="1:17" ht="15.75" thickBot="1" x14ac:dyDescent="0.3">
      <c r="A19" s="107" t="s">
        <v>24</v>
      </c>
      <c r="B19" s="108"/>
      <c r="C19" s="108"/>
      <c r="D19" s="109"/>
      <c r="E19" s="109"/>
      <c r="F19" s="109"/>
      <c r="G19" s="109"/>
      <c r="H19" s="109"/>
      <c r="I19" s="109"/>
      <c r="J19" s="108" t="s">
        <v>26</v>
      </c>
      <c r="K19" s="108"/>
      <c r="L19" s="109"/>
      <c r="M19" s="109"/>
      <c r="N19" s="109"/>
      <c r="O19" s="109"/>
      <c r="P19" s="110"/>
    </row>
    <row r="20" spans="1:17" ht="15.75" thickBot="1" x14ac:dyDescent="0.3">
      <c r="A20" s="100"/>
      <c r="B20" s="100"/>
      <c r="C20" s="100"/>
      <c r="D20" s="100"/>
      <c r="E20" s="100"/>
      <c r="F20" s="100"/>
      <c r="G20" s="100"/>
      <c r="H20" s="100"/>
      <c r="I20" s="100"/>
      <c r="J20" s="100"/>
      <c r="K20" s="100"/>
      <c r="L20" s="100"/>
      <c r="M20" s="100"/>
      <c r="N20" s="100"/>
      <c r="O20" s="100"/>
      <c r="P20" s="100"/>
    </row>
    <row r="21" spans="1:17" ht="15.75" thickBot="1" x14ac:dyDescent="0.3">
      <c r="A21" s="111" t="s">
        <v>27</v>
      </c>
      <c r="B21" s="112"/>
      <c r="C21" s="112" t="s">
        <v>28</v>
      </c>
      <c r="D21" s="112"/>
      <c r="E21" s="112"/>
      <c r="F21" s="112"/>
      <c r="G21" s="112"/>
      <c r="H21" s="112"/>
      <c r="I21" s="112"/>
      <c r="J21" s="112"/>
      <c r="K21" s="112"/>
      <c r="L21" s="112"/>
      <c r="M21" s="112"/>
      <c r="N21" s="112"/>
      <c r="O21" s="112"/>
      <c r="P21" s="113"/>
      <c r="Q21" s="7"/>
    </row>
    <row r="22" spans="1:17" ht="30" customHeight="1" x14ac:dyDescent="0.25">
      <c r="A22" s="114">
        <v>42152</v>
      </c>
      <c r="B22" s="115"/>
      <c r="C22" s="91" t="s">
        <v>412</v>
      </c>
      <c r="D22" s="91"/>
      <c r="E22" s="91"/>
      <c r="F22" s="91"/>
      <c r="G22" s="91"/>
      <c r="H22" s="91"/>
      <c r="I22" s="91"/>
      <c r="J22" s="91"/>
      <c r="K22" s="91"/>
      <c r="L22" s="91"/>
      <c r="M22" s="91"/>
      <c r="N22" s="91"/>
      <c r="O22" s="91"/>
      <c r="P22" s="92"/>
      <c r="Q22" s="7"/>
    </row>
    <row r="23" spans="1:17" ht="30" customHeight="1" x14ac:dyDescent="0.25">
      <c r="A23" s="89"/>
      <c r="B23" s="90"/>
      <c r="C23" s="97"/>
      <c r="D23" s="98"/>
      <c r="E23" s="98"/>
      <c r="F23" s="98"/>
      <c r="G23" s="98"/>
      <c r="H23" s="98"/>
      <c r="I23" s="98"/>
      <c r="J23" s="98"/>
      <c r="K23" s="98"/>
      <c r="L23" s="98"/>
      <c r="M23" s="98"/>
      <c r="N23" s="98"/>
      <c r="O23" s="98"/>
      <c r="P23" s="99"/>
      <c r="Q23" s="7"/>
    </row>
    <row r="24" spans="1:17" ht="30" customHeight="1" x14ac:dyDescent="0.25">
      <c r="A24" s="89"/>
      <c r="B24" s="90"/>
      <c r="C24" s="91"/>
      <c r="D24" s="91"/>
      <c r="E24" s="91"/>
      <c r="F24" s="91"/>
      <c r="G24" s="91"/>
      <c r="H24" s="91"/>
      <c r="I24" s="91"/>
      <c r="J24" s="91"/>
      <c r="K24" s="91"/>
      <c r="L24" s="91"/>
      <c r="M24" s="91"/>
      <c r="N24" s="91"/>
      <c r="O24" s="91"/>
      <c r="P24" s="92"/>
      <c r="Q24" s="7"/>
    </row>
    <row r="25" spans="1:17" ht="30" customHeight="1" x14ac:dyDescent="0.25">
      <c r="A25" s="89"/>
      <c r="B25" s="90"/>
      <c r="C25" s="91"/>
      <c r="D25" s="91"/>
      <c r="E25" s="91"/>
      <c r="F25" s="91"/>
      <c r="G25" s="91"/>
      <c r="H25" s="91"/>
      <c r="I25" s="91"/>
      <c r="J25" s="91"/>
      <c r="K25" s="91"/>
      <c r="L25" s="91"/>
      <c r="M25" s="91"/>
      <c r="N25" s="91"/>
      <c r="O25" s="91"/>
      <c r="P25" s="92"/>
    </row>
    <row r="26" spans="1:17" ht="30" customHeight="1" thickBot="1" x14ac:dyDescent="0.3">
      <c r="A26" s="93"/>
      <c r="B26" s="94"/>
      <c r="C26" s="95"/>
      <c r="D26" s="95"/>
      <c r="E26" s="95"/>
      <c r="F26" s="95"/>
      <c r="G26" s="95"/>
      <c r="H26" s="95"/>
      <c r="I26" s="95"/>
      <c r="J26" s="95"/>
      <c r="K26" s="95"/>
      <c r="L26" s="95"/>
      <c r="M26" s="95"/>
      <c r="N26" s="95"/>
      <c r="O26" s="95"/>
      <c r="P26" s="96"/>
    </row>
  </sheetData>
  <mergeCells count="86">
    <mergeCell ref="A1:P1"/>
    <mergeCell ref="A2:P2"/>
    <mergeCell ref="B3:H3"/>
    <mergeCell ref="I3:J3"/>
    <mergeCell ref="K3:L3"/>
    <mergeCell ref="M3:P3"/>
    <mergeCell ref="N7:P7"/>
    <mergeCell ref="B4:H4"/>
    <mergeCell ref="I4:J4"/>
    <mergeCell ref="K4:L4"/>
    <mergeCell ref="O4:P4"/>
    <mergeCell ref="G5:H5"/>
    <mergeCell ref="I5:J5"/>
    <mergeCell ref="K5:L5"/>
    <mergeCell ref="O5:P5"/>
    <mergeCell ref="A7:B7"/>
    <mergeCell ref="C7:F7"/>
    <mergeCell ref="G7:H7"/>
    <mergeCell ref="I7:K7"/>
    <mergeCell ref="L7:M7"/>
    <mergeCell ref="A8:P8"/>
    <mergeCell ref="A9:P9"/>
    <mergeCell ref="A10:B10"/>
    <mergeCell ref="C10:D10"/>
    <mergeCell ref="E10:F10"/>
    <mergeCell ref="G10:H10"/>
    <mergeCell ref="I10:J10"/>
    <mergeCell ref="K10:P10"/>
    <mergeCell ref="K12:P12"/>
    <mergeCell ref="A11:B11"/>
    <mergeCell ref="C11:D11"/>
    <mergeCell ref="E11:F11"/>
    <mergeCell ref="G11:H11"/>
    <mergeCell ref="I11:J11"/>
    <mergeCell ref="K11:P11"/>
    <mergeCell ref="A12:B12"/>
    <mergeCell ref="C12:D12"/>
    <mergeCell ref="E12:F12"/>
    <mergeCell ref="G12:H12"/>
    <mergeCell ref="I12:J12"/>
    <mergeCell ref="K14:P14"/>
    <mergeCell ref="A13:B13"/>
    <mergeCell ref="C13:D13"/>
    <mergeCell ref="E13:F13"/>
    <mergeCell ref="G13:H13"/>
    <mergeCell ref="I13:J13"/>
    <mergeCell ref="K13:P13"/>
    <mergeCell ref="A14:B14"/>
    <mergeCell ref="C14:D14"/>
    <mergeCell ref="E14:F14"/>
    <mergeCell ref="G14:H14"/>
    <mergeCell ref="I14:J14"/>
    <mergeCell ref="K16:P16"/>
    <mergeCell ref="A15:B15"/>
    <mergeCell ref="C15:D15"/>
    <mergeCell ref="E15:F15"/>
    <mergeCell ref="G15:H15"/>
    <mergeCell ref="I15:J15"/>
    <mergeCell ref="K15:P15"/>
    <mergeCell ref="A16:B16"/>
    <mergeCell ref="C16:D16"/>
    <mergeCell ref="E16:F16"/>
    <mergeCell ref="G16:H16"/>
    <mergeCell ref="I16:J16"/>
    <mergeCell ref="A23:B23"/>
    <mergeCell ref="C23:P23"/>
    <mergeCell ref="A17:P17"/>
    <mergeCell ref="A18:C18"/>
    <mergeCell ref="D18:I18"/>
    <mergeCell ref="J18:K18"/>
    <mergeCell ref="L18:P18"/>
    <mergeCell ref="A19:C19"/>
    <mergeCell ref="D19:I19"/>
    <mergeCell ref="J19:K19"/>
    <mergeCell ref="L19:P19"/>
    <mergeCell ref="A20:P20"/>
    <mergeCell ref="A21:B21"/>
    <mergeCell ref="C21:P21"/>
    <mergeCell ref="A22:B22"/>
    <mergeCell ref="C22:P22"/>
    <mergeCell ref="A24:B24"/>
    <mergeCell ref="C24:P24"/>
    <mergeCell ref="A25:B25"/>
    <mergeCell ref="C25:P25"/>
    <mergeCell ref="A26:B26"/>
    <mergeCell ref="C26:P26"/>
  </mergeCells>
  <hyperlinks>
    <hyperlink ref="K11" r:id="rId1"/>
    <hyperlink ref="K12" r:id="rId2"/>
  </hyperlinks>
  <pageMargins left="0.25" right="0.25" top="0.75" bottom="0.75" header="0.3" footer="0.3"/>
  <pageSetup paperSize="9" orientation="landscape" horizontalDpi="0" verticalDpi="0" r:id="rId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5"/>
  <dimension ref="A1:Q26"/>
  <sheetViews>
    <sheetView tabSelected="1" zoomScale="115" zoomScaleNormal="115" workbookViewId="0">
      <selection activeCell="M5" sqref="M5:N5"/>
    </sheetView>
  </sheetViews>
  <sheetFormatPr baseColWidth="10" defaultColWidth="9.140625" defaultRowHeight="15" x14ac:dyDescent="0.25"/>
  <cols>
    <col min="1" max="16" width="8.7109375" style="1" customWidth="1"/>
    <col min="17" max="16384" width="9.140625" style="1"/>
  </cols>
  <sheetData>
    <row r="1" spans="1:16" ht="28.5" x14ac:dyDescent="0.25">
      <c r="A1" s="150" t="s">
        <v>395</v>
      </c>
      <c r="B1" s="150"/>
      <c r="C1" s="150"/>
      <c r="D1" s="150"/>
      <c r="E1" s="150"/>
      <c r="F1" s="150"/>
      <c r="G1" s="150"/>
      <c r="H1" s="150"/>
      <c r="I1" s="150"/>
      <c r="J1" s="150"/>
      <c r="K1" s="150"/>
      <c r="L1" s="150"/>
      <c r="M1" s="150"/>
      <c r="N1" s="150"/>
      <c r="O1" s="150"/>
      <c r="P1" s="150"/>
    </row>
    <row r="2" spans="1:16" ht="23.25" customHeight="1" thickBot="1" x14ac:dyDescent="0.3">
      <c r="A2" s="151"/>
      <c r="B2" s="151"/>
      <c r="C2" s="151"/>
      <c r="D2" s="151"/>
      <c r="E2" s="151"/>
      <c r="F2" s="151"/>
      <c r="G2" s="151"/>
      <c r="H2" s="151"/>
      <c r="I2" s="151"/>
      <c r="J2" s="151"/>
      <c r="K2" s="151"/>
      <c r="L2" s="151"/>
      <c r="M2" s="151"/>
      <c r="N2" s="151"/>
      <c r="O2" s="151"/>
      <c r="P2" s="151"/>
    </row>
    <row r="3" spans="1:16" x14ac:dyDescent="0.25">
      <c r="A3" s="2" t="s">
        <v>1</v>
      </c>
      <c r="B3" s="103" t="s">
        <v>396</v>
      </c>
      <c r="C3" s="103"/>
      <c r="D3" s="103"/>
      <c r="E3" s="103"/>
      <c r="F3" s="103"/>
      <c r="G3" s="103"/>
      <c r="H3" s="152"/>
      <c r="I3" s="101" t="s">
        <v>6</v>
      </c>
      <c r="J3" s="102"/>
      <c r="K3" s="153" t="s">
        <v>37</v>
      </c>
      <c r="L3" s="154"/>
      <c r="M3" s="101" t="s">
        <v>9</v>
      </c>
      <c r="N3" s="102"/>
      <c r="O3" s="102"/>
      <c r="P3" s="137"/>
    </row>
    <row r="4" spans="1:16" x14ac:dyDescent="0.25">
      <c r="A4" s="3" t="s">
        <v>2</v>
      </c>
      <c r="B4" s="119" t="s">
        <v>397</v>
      </c>
      <c r="C4" s="119"/>
      <c r="D4" s="119"/>
      <c r="E4" s="119"/>
      <c r="F4" s="119"/>
      <c r="G4" s="119"/>
      <c r="H4" s="141"/>
      <c r="I4" s="142" t="s">
        <v>7</v>
      </c>
      <c r="J4" s="143"/>
      <c r="K4" s="144">
        <v>17</v>
      </c>
      <c r="L4" s="145"/>
      <c r="M4" s="37" t="s">
        <v>10</v>
      </c>
      <c r="N4" s="38" t="s">
        <v>76</v>
      </c>
      <c r="O4" s="143" t="s">
        <v>11</v>
      </c>
      <c r="P4" s="146"/>
    </row>
    <row r="5" spans="1:16" ht="15.75" thickBot="1" x14ac:dyDescent="0.3">
      <c r="A5" s="4" t="s">
        <v>480</v>
      </c>
      <c r="B5" s="71" t="s">
        <v>562</v>
      </c>
      <c r="C5" s="5" t="s">
        <v>481</v>
      </c>
      <c r="D5" s="70" t="s">
        <v>563</v>
      </c>
      <c r="E5" s="74"/>
      <c r="F5" s="5" t="s">
        <v>12</v>
      </c>
      <c r="G5" s="147">
        <v>382558255</v>
      </c>
      <c r="H5" s="126"/>
      <c r="I5" s="107" t="s">
        <v>8</v>
      </c>
      <c r="J5" s="108"/>
      <c r="K5" s="148">
        <v>300</v>
      </c>
      <c r="L5" s="149"/>
      <c r="M5" s="40"/>
      <c r="N5" s="39"/>
      <c r="O5" s="148">
        <v>112</v>
      </c>
      <c r="P5" s="149"/>
    </row>
    <row r="6" spans="1:16" ht="15.75" thickBot="1" x14ac:dyDescent="0.3">
      <c r="A6" s="12"/>
      <c r="B6" s="12"/>
      <c r="C6" s="12"/>
      <c r="D6" s="12"/>
      <c r="E6" s="12"/>
      <c r="F6" s="12"/>
      <c r="G6" s="12"/>
      <c r="H6" s="12"/>
      <c r="I6" s="12"/>
      <c r="J6" s="12"/>
      <c r="K6" s="12"/>
      <c r="L6" s="12"/>
      <c r="M6" s="12"/>
      <c r="N6" s="12"/>
      <c r="O6" s="12"/>
      <c r="P6" s="12"/>
    </row>
    <row r="7" spans="1:16" ht="15.75" thickBot="1" x14ac:dyDescent="0.3">
      <c r="A7" s="138" t="s">
        <v>31</v>
      </c>
      <c r="B7" s="139"/>
      <c r="C7" s="131"/>
      <c r="D7" s="131"/>
      <c r="E7" s="131"/>
      <c r="F7" s="131"/>
      <c r="G7" s="139" t="s">
        <v>32</v>
      </c>
      <c r="H7" s="139"/>
      <c r="I7" s="140"/>
      <c r="J7" s="140"/>
      <c r="K7" s="140"/>
      <c r="L7" s="139" t="s">
        <v>33</v>
      </c>
      <c r="M7" s="139"/>
      <c r="N7" s="131"/>
      <c r="O7" s="131"/>
      <c r="P7" s="132"/>
    </row>
    <row r="8" spans="1:16" ht="15.75" thickBot="1" x14ac:dyDescent="0.3">
      <c r="A8" s="133"/>
      <c r="B8" s="133"/>
      <c r="C8" s="133"/>
      <c r="D8" s="133"/>
      <c r="E8" s="133"/>
      <c r="F8" s="133"/>
      <c r="G8" s="133"/>
      <c r="H8" s="133"/>
      <c r="I8" s="133"/>
      <c r="J8" s="133"/>
      <c r="K8" s="133"/>
      <c r="L8" s="133"/>
      <c r="M8" s="133"/>
      <c r="N8" s="133"/>
      <c r="O8" s="133"/>
      <c r="P8" s="133"/>
    </row>
    <row r="9" spans="1:16" ht="15.75" thickBot="1" x14ac:dyDescent="0.3">
      <c r="A9" s="111" t="s">
        <v>13</v>
      </c>
      <c r="B9" s="112"/>
      <c r="C9" s="112"/>
      <c r="D9" s="112"/>
      <c r="E9" s="112"/>
      <c r="F9" s="112"/>
      <c r="G9" s="112"/>
      <c r="H9" s="112"/>
      <c r="I9" s="112"/>
      <c r="J9" s="112"/>
      <c r="K9" s="112"/>
      <c r="L9" s="112"/>
      <c r="M9" s="112"/>
      <c r="N9" s="112"/>
      <c r="O9" s="112"/>
      <c r="P9" s="113"/>
    </row>
    <row r="10" spans="1:16" s="6" customFormat="1" x14ac:dyDescent="0.25">
      <c r="A10" s="134" t="s">
        <v>1</v>
      </c>
      <c r="B10" s="135"/>
      <c r="C10" s="135" t="s">
        <v>3</v>
      </c>
      <c r="D10" s="135"/>
      <c r="E10" s="135" t="s">
        <v>4</v>
      </c>
      <c r="F10" s="135"/>
      <c r="G10" s="104" t="s">
        <v>20</v>
      </c>
      <c r="H10" s="105"/>
      <c r="I10" s="104" t="s">
        <v>21</v>
      </c>
      <c r="J10" s="136"/>
      <c r="K10" s="102" t="s">
        <v>5</v>
      </c>
      <c r="L10" s="102"/>
      <c r="M10" s="102"/>
      <c r="N10" s="102"/>
      <c r="O10" s="102"/>
      <c r="P10" s="137"/>
    </row>
    <row r="11" spans="1:16" x14ac:dyDescent="0.25">
      <c r="A11" s="118" t="s">
        <v>398</v>
      </c>
      <c r="B11" s="119"/>
      <c r="C11" s="119" t="s">
        <v>399</v>
      </c>
      <c r="D11" s="119"/>
      <c r="E11" s="119" t="s">
        <v>400</v>
      </c>
      <c r="F11" s="119"/>
      <c r="G11" s="120">
        <v>382558462</v>
      </c>
      <c r="H11" s="121"/>
      <c r="I11" s="120"/>
      <c r="J11" s="122"/>
      <c r="K11" s="129" t="s">
        <v>401</v>
      </c>
      <c r="L11" s="129"/>
      <c r="M11" s="129"/>
      <c r="N11" s="129"/>
      <c r="O11" s="129"/>
      <c r="P11" s="130"/>
    </row>
    <row r="12" spans="1:16" x14ac:dyDescent="0.25">
      <c r="A12" s="118"/>
      <c r="B12" s="119"/>
      <c r="C12" s="119"/>
      <c r="D12" s="119"/>
      <c r="E12" s="119"/>
      <c r="F12" s="119"/>
      <c r="G12" s="120"/>
      <c r="H12" s="121"/>
      <c r="I12" s="120"/>
      <c r="J12" s="122"/>
      <c r="K12" s="123"/>
      <c r="L12" s="123"/>
      <c r="M12" s="123"/>
      <c r="N12" s="123"/>
      <c r="O12" s="123"/>
      <c r="P12" s="124"/>
    </row>
    <row r="13" spans="1:16" x14ac:dyDescent="0.25">
      <c r="A13" s="118"/>
      <c r="B13" s="119"/>
      <c r="C13" s="119"/>
      <c r="D13" s="119"/>
      <c r="E13" s="119"/>
      <c r="F13" s="119"/>
      <c r="G13" s="120"/>
      <c r="H13" s="121"/>
      <c r="I13" s="120"/>
      <c r="J13" s="122"/>
      <c r="K13" s="123"/>
      <c r="L13" s="123"/>
      <c r="M13" s="123"/>
      <c r="N13" s="123"/>
      <c r="O13" s="123"/>
      <c r="P13" s="124"/>
    </row>
    <row r="14" spans="1:16" x14ac:dyDescent="0.25">
      <c r="A14" s="118"/>
      <c r="B14" s="119"/>
      <c r="C14" s="119"/>
      <c r="D14" s="119"/>
      <c r="E14" s="119"/>
      <c r="F14" s="119"/>
      <c r="G14" s="120"/>
      <c r="H14" s="121"/>
      <c r="I14" s="120"/>
      <c r="J14" s="122"/>
      <c r="K14" s="123"/>
      <c r="L14" s="123"/>
      <c r="M14" s="123"/>
      <c r="N14" s="123"/>
      <c r="O14" s="123"/>
      <c r="P14" s="124"/>
    </row>
    <row r="15" spans="1:16" x14ac:dyDescent="0.25">
      <c r="A15" s="118"/>
      <c r="B15" s="119"/>
      <c r="C15" s="119"/>
      <c r="D15" s="119"/>
      <c r="E15" s="119"/>
      <c r="F15" s="119"/>
      <c r="G15" s="120"/>
      <c r="H15" s="121"/>
      <c r="I15" s="120"/>
      <c r="J15" s="122"/>
      <c r="K15" s="123"/>
      <c r="L15" s="123"/>
      <c r="M15" s="123"/>
      <c r="N15" s="123"/>
      <c r="O15" s="123"/>
      <c r="P15" s="124"/>
    </row>
    <row r="16" spans="1:16" ht="15.75" thickBot="1" x14ac:dyDescent="0.3">
      <c r="A16" s="125"/>
      <c r="B16" s="109"/>
      <c r="C16" s="109"/>
      <c r="D16" s="109"/>
      <c r="E16" s="109"/>
      <c r="F16" s="109"/>
      <c r="G16" s="126"/>
      <c r="H16" s="127"/>
      <c r="I16" s="126"/>
      <c r="J16" s="128"/>
      <c r="K16" s="116"/>
      <c r="L16" s="116"/>
      <c r="M16" s="116"/>
      <c r="N16" s="116"/>
      <c r="O16" s="116"/>
      <c r="P16" s="117"/>
    </row>
    <row r="17" spans="1:17" ht="15.75" thickBot="1" x14ac:dyDescent="0.3">
      <c r="A17" s="100"/>
      <c r="B17" s="100"/>
      <c r="C17" s="100"/>
      <c r="D17" s="100"/>
      <c r="E17" s="100"/>
      <c r="F17" s="100"/>
      <c r="G17" s="100"/>
      <c r="H17" s="100"/>
      <c r="I17" s="100"/>
      <c r="J17" s="100"/>
      <c r="K17" s="100"/>
      <c r="L17" s="100"/>
      <c r="M17" s="100"/>
      <c r="N17" s="100"/>
      <c r="O17" s="100"/>
      <c r="P17" s="100"/>
    </row>
    <row r="18" spans="1:17" x14ac:dyDescent="0.25">
      <c r="A18" s="101" t="s">
        <v>23</v>
      </c>
      <c r="B18" s="102"/>
      <c r="C18" s="102"/>
      <c r="D18" s="103"/>
      <c r="E18" s="103"/>
      <c r="F18" s="103"/>
      <c r="G18" s="103"/>
      <c r="H18" s="103"/>
      <c r="I18" s="103"/>
      <c r="J18" s="104" t="s">
        <v>25</v>
      </c>
      <c r="K18" s="105"/>
      <c r="L18" s="103"/>
      <c r="M18" s="103"/>
      <c r="N18" s="103"/>
      <c r="O18" s="103"/>
      <c r="P18" s="106"/>
    </row>
    <row r="19" spans="1:17" ht="15.75" thickBot="1" x14ac:dyDescent="0.3">
      <c r="A19" s="107" t="s">
        <v>24</v>
      </c>
      <c r="B19" s="108"/>
      <c r="C19" s="108"/>
      <c r="D19" s="109"/>
      <c r="E19" s="109"/>
      <c r="F19" s="109"/>
      <c r="G19" s="109"/>
      <c r="H19" s="109"/>
      <c r="I19" s="109"/>
      <c r="J19" s="108" t="s">
        <v>26</v>
      </c>
      <c r="K19" s="108"/>
      <c r="L19" s="109"/>
      <c r="M19" s="109"/>
      <c r="N19" s="109"/>
      <c r="O19" s="109"/>
      <c r="P19" s="110"/>
    </row>
    <row r="20" spans="1:17" ht="15.75" thickBot="1" x14ac:dyDescent="0.3">
      <c r="A20" s="100"/>
      <c r="B20" s="100"/>
      <c r="C20" s="100"/>
      <c r="D20" s="100"/>
      <c r="E20" s="100"/>
      <c r="F20" s="100"/>
      <c r="G20" s="100"/>
      <c r="H20" s="100"/>
      <c r="I20" s="100"/>
      <c r="J20" s="100"/>
      <c r="K20" s="100"/>
      <c r="L20" s="100"/>
      <c r="M20" s="100"/>
      <c r="N20" s="100"/>
      <c r="O20" s="100"/>
      <c r="P20" s="100"/>
    </row>
    <row r="21" spans="1:17" ht="15.75" thickBot="1" x14ac:dyDescent="0.3">
      <c r="A21" s="111" t="s">
        <v>27</v>
      </c>
      <c r="B21" s="112"/>
      <c r="C21" s="112" t="s">
        <v>28</v>
      </c>
      <c r="D21" s="112"/>
      <c r="E21" s="112"/>
      <c r="F21" s="112"/>
      <c r="G21" s="112"/>
      <c r="H21" s="112"/>
      <c r="I21" s="112"/>
      <c r="J21" s="112"/>
      <c r="K21" s="112"/>
      <c r="L21" s="112"/>
      <c r="M21" s="112"/>
      <c r="N21" s="112"/>
      <c r="O21" s="112"/>
      <c r="P21" s="113"/>
      <c r="Q21" s="7"/>
    </row>
    <row r="22" spans="1:17" ht="30" customHeight="1" x14ac:dyDescent="0.25">
      <c r="A22" s="114">
        <v>42152</v>
      </c>
      <c r="B22" s="115"/>
      <c r="C22" s="91" t="s">
        <v>402</v>
      </c>
      <c r="D22" s="91"/>
      <c r="E22" s="91"/>
      <c r="F22" s="91"/>
      <c r="G22" s="91"/>
      <c r="H22" s="91"/>
      <c r="I22" s="91"/>
      <c r="J22" s="91"/>
      <c r="K22" s="91"/>
      <c r="L22" s="91"/>
      <c r="M22" s="91"/>
      <c r="N22" s="91"/>
      <c r="O22" s="91"/>
      <c r="P22" s="92"/>
      <c r="Q22" s="7"/>
    </row>
    <row r="23" spans="1:17" ht="30" customHeight="1" x14ac:dyDescent="0.25">
      <c r="A23" s="89"/>
      <c r="B23" s="90"/>
      <c r="C23" s="97"/>
      <c r="D23" s="98"/>
      <c r="E23" s="98"/>
      <c r="F23" s="98"/>
      <c r="G23" s="98"/>
      <c r="H23" s="98"/>
      <c r="I23" s="98"/>
      <c r="J23" s="98"/>
      <c r="K23" s="98"/>
      <c r="L23" s="98"/>
      <c r="M23" s="98"/>
      <c r="N23" s="98"/>
      <c r="O23" s="98"/>
      <c r="P23" s="99"/>
      <c r="Q23" s="7"/>
    </row>
    <row r="24" spans="1:17" ht="30" customHeight="1" x14ac:dyDescent="0.25">
      <c r="A24" s="89"/>
      <c r="B24" s="90"/>
      <c r="C24" s="91"/>
      <c r="D24" s="91"/>
      <c r="E24" s="91"/>
      <c r="F24" s="91"/>
      <c r="G24" s="91"/>
      <c r="H24" s="91"/>
      <c r="I24" s="91"/>
      <c r="J24" s="91"/>
      <c r="K24" s="91"/>
      <c r="L24" s="91"/>
      <c r="M24" s="91"/>
      <c r="N24" s="91"/>
      <c r="O24" s="91"/>
      <c r="P24" s="92"/>
      <c r="Q24" s="7"/>
    </row>
    <row r="25" spans="1:17" ht="30" customHeight="1" x14ac:dyDescent="0.25">
      <c r="A25" s="89"/>
      <c r="B25" s="90"/>
      <c r="C25" s="91"/>
      <c r="D25" s="91"/>
      <c r="E25" s="91"/>
      <c r="F25" s="91"/>
      <c r="G25" s="91"/>
      <c r="H25" s="91"/>
      <c r="I25" s="91"/>
      <c r="J25" s="91"/>
      <c r="K25" s="91"/>
      <c r="L25" s="91"/>
      <c r="M25" s="91"/>
      <c r="N25" s="91"/>
      <c r="O25" s="91"/>
      <c r="P25" s="92"/>
    </row>
    <row r="26" spans="1:17" ht="30" customHeight="1" thickBot="1" x14ac:dyDescent="0.3">
      <c r="A26" s="93"/>
      <c r="B26" s="94"/>
      <c r="C26" s="95"/>
      <c r="D26" s="95"/>
      <c r="E26" s="95"/>
      <c r="F26" s="95"/>
      <c r="G26" s="95"/>
      <c r="H26" s="95"/>
      <c r="I26" s="95"/>
      <c r="J26" s="95"/>
      <c r="K26" s="95"/>
      <c r="L26" s="95"/>
      <c r="M26" s="95"/>
      <c r="N26" s="95"/>
      <c r="O26" s="95"/>
      <c r="P26" s="96"/>
    </row>
  </sheetData>
  <mergeCells count="86">
    <mergeCell ref="A1:P1"/>
    <mergeCell ref="A2:P2"/>
    <mergeCell ref="B3:H3"/>
    <mergeCell ref="I3:J3"/>
    <mergeCell ref="K3:L3"/>
    <mergeCell ref="M3:P3"/>
    <mergeCell ref="N7:P7"/>
    <mergeCell ref="B4:H4"/>
    <mergeCell ref="I4:J4"/>
    <mergeCell ref="K4:L4"/>
    <mergeCell ref="O4:P4"/>
    <mergeCell ref="G5:H5"/>
    <mergeCell ref="I5:J5"/>
    <mergeCell ref="K5:L5"/>
    <mergeCell ref="O5:P5"/>
    <mergeCell ref="A7:B7"/>
    <mergeCell ref="C7:F7"/>
    <mergeCell ref="G7:H7"/>
    <mergeCell ref="I7:K7"/>
    <mergeCell ref="L7:M7"/>
    <mergeCell ref="A8:P8"/>
    <mergeCell ref="A9:P9"/>
    <mergeCell ref="A10:B10"/>
    <mergeCell ref="C10:D10"/>
    <mergeCell ref="E10:F10"/>
    <mergeCell ref="G10:H10"/>
    <mergeCell ref="I10:J10"/>
    <mergeCell ref="K10:P10"/>
    <mergeCell ref="K12:P12"/>
    <mergeCell ref="A11:B11"/>
    <mergeCell ref="C11:D11"/>
    <mergeCell ref="E11:F11"/>
    <mergeCell ref="G11:H11"/>
    <mergeCell ref="I11:J11"/>
    <mergeCell ref="K11:P11"/>
    <mergeCell ref="A12:B12"/>
    <mergeCell ref="C12:D12"/>
    <mergeCell ref="E12:F12"/>
    <mergeCell ref="G12:H12"/>
    <mergeCell ref="I12:J12"/>
    <mergeCell ref="K14:P14"/>
    <mergeCell ref="A13:B13"/>
    <mergeCell ref="C13:D13"/>
    <mergeCell ref="E13:F13"/>
    <mergeCell ref="G13:H13"/>
    <mergeCell ref="I13:J13"/>
    <mergeCell ref="K13:P13"/>
    <mergeCell ref="A14:B14"/>
    <mergeCell ref="C14:D14"/>
    <mergeCell ref="E14:F14"/>
    <mergeCell ref="G14:H14"/>
    <mergeCell ref="I14:J14"/>
    <mergeCell ref="K16:P16"/>
    <mergeCell ref="A15:B15"/>
    <mergeCell ref="C15:D15"/>
    <mergeCell ref="E15:F15"/>
    <mergeCell ref="G15:H15"/>
    <mergeCell ref="I15:J15"/>
    <mergeCell ref="K15:P15"/>
    <mergeCell ref="A16:B16"/>
    <mergeCell ref="C16:D16"/>
    <mergeCell ref="E16:F16"/>
    <mergeCell ref="G16:H16"/>
    <mergeCell ref="I16:J16"/>
    <mergeCell ref="A23:B23"/>
    <mergeCell ref="C23:P23"/>
    <mergeCell ref="A17:P17"/>
    <mergeCell ref="A18:C18"/>
    <mergeCell ref="D18:I18"/>
    <mergeCell ref="J18:K18"/>
    <mergeCell ref="L18:P18"/>
    <mergeCell ref="A19:C19"/>
    <mergeCell ref="D19:I19"/>
    <mergeCell ref="J19:K19"/>
    <mergeCell ref="L19:P19"/>
    <mergeCell ref="A20:P20"/>
    <mergeCell ref="A21:B21"/>
    <mergeCell ref="C21:P21"/>
    <mergeCell ref="A22:B22"/>
    <mergeCell ref="C22:P22"/>
    <mergeCell ref="A24:B24"/>
    <mergeCell ref="C24:P24"/>
    <mergeCell ref="A25:B25"/>
    <mergeCell ref="C25:P25"/>
    <mergeCell ref="A26:B26"/>
    <mergeCell ref="C26:P26"/>
  </mergeCells>
  <hyperlinks>
    <hyperlink ref="K11" r:id="rId1"/>
  </hyperlinks>
  <pageMargins left="0.25" right="0.25" top="0.75" bottom="0.75" header="0.3" footer="0.3"/>
  <pageSetup paperSize="9" orientation="landscape" horizontalDpi="0" verticalDpi="0"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6"/>
  <dimension ref="A1:Q26"/>
  <sheetViews>
    <sheetView tabSelected="1" zoomScale="115" zoomScaleNormal="115" workbookViewId="0">
      <selection activeCell="M5" sqref="M5:N5"/>
    </sheetView>
  </sheetViews>
  <sheetFormatPr baseColWidth="10" defaultColWidth="9.140625" defaultRowHeight="15" x14ac:dyDescent="0.25"/>
  <cols>
    <col min="1" max="16" width="8.7109375" style="1" customWidth="1"/>
    <col min="17" max="16384" width="9.140625" style="1"/>
  </cols>
  <sheetData>
    <row r="1" spans="1:16" ht="28.5" x14ac:dyDescent="0.25">
      <c r="A1" s="150" t="s">
        <v>388</v>
      </c>
      <c r="B1" s="150"/>
      <c r="C1" s="150"/>
      <c r="D1" s="150"/>
      <c r="E1" s="150"/>
      <c r="F1" s="150"/>
      <c r="G1" s="150"/>
      <c r="H1" s="150"/>
      <c r="I1" s="150"/>
      <c r="J1" s="150"/>
      <c r="K1" s="150"/>
      <c r="L1" s="150"/>
      <c r="M1" s="150"/>
      <c r="N1" s="150"/>
      <c r="O1" s="150"/>
      <c r="P1" s="150"/>
    </row>
    <row r="2" spans="1:16" ht="23.25" customHeight="1" thickBot="1" x14ac:dyDescent="0.3">
      <c r="A2" s="151"/>
      <c r="B2" s="151"/>
      <c r="C2" s="151"/>
      <c r="D2" s="151"/>
      <c r="E2" s="151"/>
      <c r="F2" s="151"/>
      <c r="G2" s="151"/>
      <c r="H2" s="151"/>
      <c r="I2" s="151"/>
      <c r="J2" s="151"/>
      <c r="K2" s="151"/>
      <c r="L2" s="151"/>
      <c r="M2" s="151"/>
      <c r="N2" s="151"/>
      <c r="O2" s="151"/>
      <c r="P2" s="151"/>
    </row>
    <row r="3" spans="1:16" x14ac:dyDescent="0.25">
      <c r="A3" s="2" t="s">
        <v>1</v>
      </c>
      <c r="B3" s="103" t="s">
        <v>389</v>
      </c>
      <c r="C3" s="103"/>
      <c r="D3" s="103"/>
      <c r="E3" s="103"/>
      <c r="F3" s="103"/>
      <c r="G3" s="103"/>
      <c r="H3" s="152"/>
      <c r="I3" s="101" t="s">
        <v>6</v>
      </c>
      <c r="J3" s="102"/>
      <c r="K3" s="153">
        <v>3</v>
      </c>
      <c r="L3" s="154"/>
      <c r="M3" s="101" t="s">
        <v>9</v>
      </c>
      <c r="N3" s="102"/>
      <c r="O3" s="102"/>
      <c r="P3" s="137"/>
    </row>
    <row r="4" spans="1:16" x14ac:dyDescent="0.25">
      <c r="A4" s="3" t="s">
        <v>2</v>
      </c>
      <c r="B4" s="119" t="s">
        <v>390</v>
      </c>
      <c r="C4" s="119"/>
      <c r="D4" s="119"/>
      <c r="E4" s="119"/>
      <c r="F4" s="119"/>
      <c r="G4" s="119"/>
      <c r="H4" s="141"/>
      <c r="I4" s="142" t="s">
        <v>7</v>
      </c>
      <c r="J4" s="143"/>
      <c r="K4" s="144">
        <v>41</v>
      </c>
      <c r="L4" s="145"/>
      <c r="M4" s="37" t="s">
        <v>10</v>
      </c>
      <c r="N4" s="38" t="s">
        <v>76</v>
      </c>
      <c r="O4" s="143" t="s">
        <v>11</v>
      </c>
      <c r="P4" s="146"/>
    </row>
    <row r="5" spans="1:16" ht="15.75" thickBot="1" x14ac:dyDescent="0.3">
      <c r="A5" s="4" t="s">
        <v>480</v>
      </c>
      <c r="B5" s="71" t="s">
        <v>564</v>
      </c>
      <c r="C5" s="5" t="s">
        <v>481</v>
      </c>
      <c r="D5" s="70" t="s">
        <v>565</v>
      </c>
      <c r="E5" s="74"/>
      <c r="F5" s="5" t="s">
        <v>12</v>
      </c>
      <c r="G5" s="147">
        <v>561772233</v>
      </c>
      <c r="H5" s="126"/>
      <c r="I5" s="107" t="s">
        <v>8</v>
      </c>
      <c r="J5" s="108"/>
      <c r="K5" s="148">
        <v>1200</v>
      </c>
      <c r="L5" s="149"/>
      <c r="M5" s="40"/>
      <c r="N5" s="39"/>
      <c r="O5" s="148">
        <v>1800</v>
      </c>
      <c r="P5" s="149"/>
    </row>
    <row r="6" spans="1:16" ht="15.75" thickBot="1" x14ac:dyDescent="0.3">
      <c r="A6" s="12"/>
      <c r="B6" s="12"/>
      <c r="C6" s="12"/>
      <c r="D6" s="12"/>
      <c r="E6" s="12"/>
      <c r="F6" s="12"/>
      <c r="G6" s="12"/>
      <c r="H6" s="12"/>
      <c r="I6" s="12"/>
      <c r="J6" s="12"/>
      <c r="K6" s="12"/>
      <c r="L6" s="12"/>
      <c r="M6" s="12"/>
      <c r="N6" s="12"/>
      <c r="O6" s="12"/>
      <c r="P6" s="12"/>
    </row>
    <row r="7" spans="1:16" ht="15.75" thickBot="1" x14ac:dyDescent="0.3">
      <c r="A7" s="138" t="s">
        <v>31</v>
      </c>
      <c r="B7" s="139"/>
      <c r="C7" s="131"/>
      <c r="D7" s="131"/>
      <c r="E7" s="131"/>
      <c r="F7" s="131"/>
      <c r="G7" s="139" t="s">
        <v>32</v>
      </c>
      <c r="H7" s="139"/>
      <c r="I7" s="140"/>
      <c r="J7" s="140"/>
      <c r="K7" s="140"/>
      <c r="L7" s="139" t="s">
        <v>33</v>
      </c>
      <c r="M7" s="139"/>
      <c r="N7" s="131"/>
      <c r="O7" s="131"/>
      <c r="P7" s="132"/>
    </row>
    <row r="8" spans="1:16" ht="15.75" thickBot="1" x14ac:dyDescent="0.3">
      <c r="A8" s="133"/>
      <c r="B8" s="133"/>
      <c r="C8" s="133"/>
      <c r="D8" s="133"/>
      <c r="E8" s="133"/>
      <c r="F8" s="133"/>
      <c r="G8" s="133"/>
      <c r="H8" s="133"/>
      <c r="I8" s="133"/>
      <c r="J8" s="133"/>
      <c r="K8" s="133"/>
      <c r="L8" s="133"/>
      <c r="M8" s="133"/>
      <c r="N8" s="133"/>
      <c r="O8" s="133"/>
      <c r="P8" s="133"/>
    </row>
    <row r="9" spans="1:16" ht="15.75" thickBot="1" x14ac:dyDescent="0.3">
      <c r="A9" s="111" t="s">
        <v>13</v>
      </c>
      <c r="B9" s="112"/>
      <c r="C9" s="112"/>
      <c r="D9" s="112"/>
      <c r="E9" s="112"/>
      <c r="F9" s="112"/>
      <c r="G9" s="112"/>
      <c r="H9" s="112"/>
      <c r="I9" s="112"/>
      <c r="J9" s="112"/>
      <c r="K9" s="112"/>
      <c r="L9" s="112"/>
      <c r="M9" s="112"/>
      <c r="N9" s="112"/>
      <c r="O9" s="112"/>
      <c r="P9" s="113"/>
    </row>
    <row r="10" spans="1:16" s="6" customFormat="1" x14ac:dyDescent="0.25">
      <c r="A10" s="134" t="s">
        <v>1</v>
      </c>
      <c r="B10" s="135"/>
      <c r="C10" s="135" t="s">
        <v>3</v>
      </c>
      <c r="D10" s="135"/>
      <c r="E10" s="135" t="s">
        <v>4</v>
      </c>
      <c r="F10" s="135"/>
      <c r="G10" s="104" t="s">
        <v>20</v>
      </c>
      <c r="H10" s="105"/>
      <c r="I10" s="104" t="s">
        <v>21</v>
      </c>
      <c r="J10" s="136"/>
      <c r="K10" s="102" t="s">
        <v>5</v>
      </c>
      <c r="L10" s="102"/>
      <c r="M10" s="102"/>
      <c r="N10" s="102"/>
      <c r="O10" s="102"/>
      <c r="P10" s="137"/>
    </row>
    <row r="11" spans="1:16" x14ac:dyDescent="0.25">
      <c r="A11" s="118" t="s">
        <v>391</v>
      </c>
      <c r="B11" s="119"/>
      <c r="C11" s="119" t="s">
        <v>392</v>
      </c>
      <c r="D11" s="119"/>
      <c r="E11" s="119" t="s">
        <v>173</v>
      </c>
      <c r="F11" s="119"/>
      <c r="G11" s="120">
        <v>534558466</v>
      </c>
      <c r="H11" s="121"/>
      <c r="I11" s="120"/>
      <c r="J11" s="122"/>
      <c r="K11" s="129" t="s">
        <v>393</v>
      </c>
      <c r="L11" s="129"/>
      <c r="M11" s="129"/>
      <c r="N11" s="129"/>
      <c r="O11" s="129"/>
      <c r="P11" s="130"/>
    </row>
    <row r="12" spans="1:16" x14ac:dyDescent="0.25">
      <c r="A12" s="118"/>
      <c r="B12" s="119"/>
      <c r="C12" s="119"/>
      <c r="D12" s="119"/>
      <c r="E12" s="119"/>
      <c r="F12" s="119"/>
      <c r="G12" s="120"/>
      <c r="H12" s="121"/>
      <c r="I12" s="120"/>
      <c r="J12" s="122"/>
      <c r="K12" s="123"/>
      <c r="L12" s="123"/>
      <c r="M12" s="123"/>
      <c r="N12" s="123"/>
      <c r="O12" s="123"/>
      <c r="P12" s="124"/>
    </row>
    <row r="13" spans="1:16" x14ac:dyDescent="0.25">
      <c r="A13" s="118"/>
      <c r="B13" s="119"/>
      <c r="C13" s="119"/>
      <c r="D13" s="119"/>
      <c r="E13" s="119"/>
      <c r="F13" s="119"/>
      <c r="G13" s="120"/>
      <c r="H13" s="121"/>
      <c r="I13" s="120"/>
      <c r="J13" s="122"/>
      <c r="K13" s="123"/>
      <c r="L13" s="123"/>
      <c r="M13" s="123"/>
      <c r="N13" s="123"/>
      <c r="O13" s="123"/>
      <c r="P13" s="124"/>
    </row>
    <row r="14" spans="1:16" x14ac:dyDescent="0.25">
      <c r="A14" s="118"/>
      <c r="B14" s="119"/>
      <c r="C14" s="119"/>
      <c r="D14" s="119"/>
      <c r="E14" s="119"/>
      <c r="F14" s="119"/>
      <c r="G14" s="120"/>
      <c r="H14" s="121"/>
      <c r="I14" s="120"/>
      <c r="J14" s="122"/>
      <c r="K14" s="123"/>
      <c r="L14" s="123"/>
      <c r="M14" s="123"/>
      <c r="N14" s="123"/>
      <c r="O14" s="123"/>
      <c r="P14" s="124"/>
    </row>
    <row r="15" spans="1:16" x14ac:dyDescent="0.25">
      <c r="A15" s="118"/>
      <c r="B15" s="119"/>
      <c r="C15" s="119"/>
      <c r="D15" s="119"/>
      <c r="E15" s="119"/>
      <c r="F15" s="119"/>
      <c r="G15" s="120"/>
      <c r="H15" s="121"/>
      <c r="I15" s="120"/>
      <c r="J15" s="122"/>
      <c r="K15" s="123"/>
      <c r="L15" s="123"/>
      <c r="M15" s="123"/>
      <c r="N15" s="123"/>
      <c r="O15" s="123"/>
      <c r="P15" s="124"/>
    </row>
    <row r="16" spans="1:16" ht="15.75" thickBot="1" x14ac:dyDescent="0.3">
      <c r="A16" s="125"/>
      <c r="B16" s="109"/>
      <c r="C16" s="109"/>
      <c r="D16" s="109"/>
      <c r="E16" s="109"/>
      <c r="F16" s="109"/>
      <c r="G16" s="126"/>
      <c r="H16" s="127"/>
      <c r="I16" s="126"/>
      <c r="J16" s="128"/>
      <c r="K16" s="116"/>
      <c r="L16" s="116"/>
      <c r="M16" s="116"/>
      <c r="N16" s="116"/>
      <c r="O16" s="116"/>
      <c r="P16" s="117"/>
    </row>
    <row r="17" spans="1:17" ht="15.75" thickBot="1" x14ac:dyDescent="0.3">
      <c r="A17" s="100"/>
      <c r="B17" s="100"/>
      <c r="C17" s="100"/>
      <c r="D17" s="100"/>
      <c r="E17" s="100"/>
      <c r="F17" s="100"/>
      <c r="G17" s="100"/>
      <c r="H17" s="100"/>
      <c r="I17" s="100"/>
      <c r="J17" s="100"/>
      <c r="K17" s="100"/>
      <c r="L17" s="100"/>
      <c r="M17" s="100"/>
      <c r="N17" s="100"/>
      <c r="O17" s="100"/>
      <c r="P17" s="100"/>
    </row>
    <row r="18" spans="1:17" x14ac:dyDescent="0.25">
      <c r="A18" s="101" t="s">
        <v>23</v>
      </c>
      <c r="B18" s="102"/>
      <c r="C18" s="102"/>
      <c r="D18" s="103"/>
      <c r="E18" s="103"/>
      <c r="F18" s="103"/>
      <c r="G18" s="103"/>
      <c r="H18" s="103"/>
      <c r="I18" s="103"/>
      <c r="J18" s="104" t="s">
        <v>25</v>
      </c>
      <c r="K18" s="105"/>
      <c r="L18" s="103"/>
      <c r="M18" s="103"/>
      <c r="N18" s="103"/>
      <c r="O18" s="103"/>
      <c r="P18" s="106"/>
    </row>
    <row r="19" spans="1:17" ht="15.75" thickBot="1" x14ac:dyDescent="0.3">
      <c r="A19" s="107" t="s">
        <v>24</v>
      </c>
      <c r="B19" s="108"/>
      <c r="C19" s="108"/>
      <c r="D19" s="109"/>
      <c r="E19" s="109"/>
      <c r="F19" s="109"/>
      <c r="G19" s="109"/>
      <c r="H19" s="109"/>
      <c r="I19" s="109"/>
      <c r="J19" s="108" t="s">
        <v>26</v>
      </c>
      <c r="K19" s="108"/>
      <c r="L19" s="109"/>
      <c r="M19" s="109"/>
      <c r="N19" s="109"/>
      <c r="O19" s="109"/>
      <c r="P19" s="110"/>
    </row>
    <row r="20" spans="1:17" ht="15.75" thickBot="1" x14ac:dyDescent="0.3">
      <c r="A20" s="100"/>
      <c r="B20" s="100"/>
      <c r="C20" s="100"/>
      <c r="D20" s="100"/>
      <c r="E20" s="100"/>
      <c r="F20" s="100"/>
      <c r="G20" s="100"/>
      <c r="H20" s="100"/>
      <c r="I20" s="100"/>
      <c r="J20" s="100"/>
      <c r="K20" s="100"/>
      <c r="L20" s="100"/>
      <c r="M20" s="100"/>
      <c r="N20" s="100"/>
      <c r="O20" s="100"/>
      <c r="P20" s="100"/>
    </row>
    <row r="21" spans="1:17" ht="15.75" thickBot="1" x14ac:dyDescent="0.3">
      <c r="A21" s="111" t="s">
        <v>27</v>
      </c>
      <c r="B21" s="112"/>
      <c r="C21" s="112" t="s">
        <v>28</v>
      </c>
      <c r="D21" s="112"/>
      <c r="E21" s="112"/>
      <c r="F21" s="112"/>
      <c r="G21" s="112"/>
      <c r="H21" s="112"/>
      <c r="I21" s="112"/>
      <c r="J21" s="112"/>
      <c r="K21" s="112"/>
      <c r="L21" s="112"/>
      <c r="M21" s="112"/>
      <c r="N21" s="112"/>
      <c r="O21" s="112"/>
      <c r="P21" s="113"/>
      <c r="Q21" s="7"/>
    </row>
    <row r="22" spans="1:17" ht="30" customHeight="1" x14ac:dyDescent="0.25">
      <c r="A22" s="114">
        <v>42152</v>
      </c>
      <c r="B22" s="115"/>
      <c r="C22" s="91" t="s">
        <v>394</v>
      </c>
      <c r="D22" s="91"/>
      <c r="E22" s="91"/>
      <c r="F22" s="91"/>
      <c r="G22" s="91"/>
      <c r="H22" s="91"/>
      <c r="I22" s="91"/>
      <c r="J22" s="91"/>
      <c r="K22" s="91"/>
      <c r="L22" s="91"/>
      <c r="M22" s="91"/>
      <c r="N22" s="91"/>
      <c r="O22" s="91"/>
      <c r="P22" s="92"/>
      <c r="Q22" s="7"/>
    </row>
    <row r="23" spans="1:17" ht="30" customHeight="1" x14ac:dyDescent="0.25">
      <c r="A23" s="89"/>
      <c r="B23" s="90"/>
      <c r="C23" s="97"/>
      <c r="D23" s="98"/>
      <c r="E23" s="98"/>
      <c r="F23" s="98"/>
      <c r="G23" s="98"/>
      <c r="H23" s="98"/>
      <c r="I23" s="98"/>
      <c r="J23" s="98"/>
      <c r="K23" s="98"/>
      <c r="L23" s="98"/>
      <c r="M23" s="98"/>
      <c r="N23" s="98"/>
      <c r="O23" s="98"/>
      <c r="P23" s="99"/>
      <c r="Q23" s="7"/>
    </row>
    <row r="24" spans="1:17" ht="30" customHeight="1" x14ac:dyDescent="0.25">
      <c r="A24" s="89"/>
      <c r="B24" s="90"/>
      <c r="C24" s="91"/>
      <c r="D24" s="91"/>
      <c r="E24" s="91"/>
      <c r="F24" s="91"/>
      <c r="G24" s="91"/>
      <c r="H24" s="91"/>
      <c r="I24" s="91"/>
      <c r="J24" s="91"/>
      <c r="K24" s="91"/>
      <c r="L24" s="91"/>
      <c r="M24" s="91"/>
      <c r="N24" s="91"/>
      <c r="O24" s="91"/>
      <c r="P24" s="92"/>
      <c r="Q24" s="7"/>
    </row>
    <row r="25" spans="1:17" ht="30" customHeight="1" x14ac:dyDescent="0.25">
      <c r="A25" s="89"/>
      <c r="B25" s="90"/>
      <c r="C25" s="91"/>
      <c r="D25" s="91"/>
      <c r="E25" s="91"/>
      <c r="F25" s="91"/>
      <c r="G25" s="91"/>
      <c r="H25" s="91"/>
      <c r="I25" s="91"/>
      <c r="J25" s="91"/>
      <c r="K25" s="91"/>
      <c r="L25" s="91"/>
      <c r="M25" s="91"/>
      <c r="N25" s="91"/>
      <c r="O25" s="91"/>
      <c r="P25" s="92"/>
    </row>
    <row r="26" spans="1:17" ht="30" customHeight="1" thickBot="1" x14ac:dyDescent="0.3">
      <c r="A26" s="93"/>
      <c r="B26" s="94"/>
      <c r="C26" s="95"/>
      <c r="D26" s="95"/>
      <c r="E26" s="95"/>
      <c r="F26" s="95"/>
      <c r="G26" s="95"/>
      <c r="H26" s="95"/>
      <c r="I26" s="95"/>
      <c r="J26" s="95"/>
      <c r="K26" s="95"/>
      <c r="L26" s="95"/>
      <c r="M26" s="95"/>
      <c r="N26" s="95"/>
      <c r="O26" s="95"/>
      <c r="P26" s="96"/>
    </row>
  </sheetData>
  <mergeCells count="86">
    <mergeCell ref="A1:P1"/>
    <mergeCell ref="A2:P2"/>
    <mergeCell ref="B3:H3"/>
    <mergeCell ref="I3:J3"/>
    <mergeCell ref="K3:L3"/>
    <mergeCell ref="M3:P3"/>
    <mergeCell ref="N7:P7"/>
    <mergeCell ref="B4:H4"/>
    <mergeCell ref="I4:J4"/>
    <mergeCell ref="K4:L4"/>
    <mergeCell ref="O4:P4"/>
    <mergeCell ref="G5:H5"/>
    <mergeCell ref="I5:J5"/>
    <mergeCell ref="K5:L5"/>
    <mergeCell ref="O5:P5"/>
    <mergeCell ref="A7:B7"/>
    <mergeCell ref="C7:F7"/>
    <mergeCell ref="G7:H7"/>
    <mergeCell ref="I7:K7"/>
    <mergeCell ref="L7:M7"/>
    <mergeCell ref="A8:P8"/>
    <mergeCell ref="A9:P9"/>
    <mergeCell ref="A10:B10"/>
    <mergeCell ref="C10:D10"/>
    <mergeCell ref="E10:F10"/>
    <mergeCell ref="G10:H10"/>
    <mergeCell ref="I10:J10"/>
    <mergeCell ref="K10:P10"/>
    <mergeCell ref="K12:P12"/>
    <mergeCell ref="A11:B11"/>
    <mergeCell ref="C11:D11"/>
    <mergeCell ref="E11:F11"/>
    <mergeCell ref="G11:H11"/>
    <mergeCell ref="I11:J11"/>
    <mergeCell ref="K11:P11"/>
    <mergeCell ref="A12:B12"/>
    <mergeCell ref="C12:D12"/>
    <mergeCell ref="E12:F12"/>
    <mergeCell ref="G12:H12"/>
    <mergeCell ref="I12:J12"/>
    <mergeCell ref="K14:P14"/>
    <mergeCell ref="A13:B13"/>
    <mergeCell ref="C13:D13"/>
    <mergeCell ref="E13:F13"/>
    <mergeCell ref="G13:H13"/>
    <mergeCell ref="I13:J13"/>
    <mergeCell ref="K13:P13"/>
    <mergeCell ref="A14:B14"/>
    <mergeCell ref="C14:D14"/>
    <mergeCell ref="E14:F14"/>
    <mergeCell ref="G14:H14"/>
    <mergeCell ref="I14:J14"/>
    <mergeCell ref="K16:P16"/>
    <mergeCell ref="A15:B15"/>
    <mergeCell ref="C15:D15"/>
    <mergeCell ref="E15:F15"/>
    <mergeCell ref="G15:H15"/>
    <mergeCell ref="I15:J15"/>
    <mergeCell ref="K15:P15"/>
    <mergeCell ref="A16:B16"/>
    <mergeCell ref="C16:D16"/>
    <mergeCell ref="E16:F16"/>
    <mergeCell ref="G16:H16"/>
    <mergeCell ref="I16:J16"/>
    <mergeCell ref="A23:B23"/>
    <mergeCell ref="C23:P23"/>
    <mergeCell ref="A17:P17"/>
    <mergeCell ref="A18:C18"/>
    <mergeCell ref="D18:I18"/>
    <mergeCell ref="J18:K18"/>
    <mergeCell ref="L18:P18"/>
    <mergeCell ref="A19:C19"/>
    <mergeCell ref="D19:I19"/>
    <mergeCell ref="J19:K19"/>
    <mergeCell ref="L19:P19"/>
    <mergeCell ref="A20:P20"/>
    <mergeCell ref="A21:B21"/>
    <mergeCell ref="C21:P21"/>
    <mergeCell ref="A22:B22"/>
    <mergeCell ref="C22:P22"/>
    <mergeCell ref="A24:B24"/>
    <mergeCell ref="C24:P24"/>
    <mergeCell ref="A25:B25"/>
    <mergeCell ref="C25:P25"/>
    <mergeCell ref="A26:B26"/>
    <mergeCell ref="C26:P26"/>
  </mergeCells>
  <hyperlinks>
    <hyperlink ref="K11" r:id="rId1"/>
  </hyperlinks>
  <pageMargins left="0.25" right="0.25" top="0.75" bottom="0.75" header="0.3" footer="0.3"/>
  <pageSetup paperSize="9" orientation="landscape" horizontalDpi="0" verticalDpi="0"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7"/>
  <dimension ref="A1:Q26"/>
  <sheetViews>
    <sheetView tabSelected="1" zoomScale="115" zoomScaleNormal="115" workbookViewId="0">
      <selection activeCell="M5" sqref="M5:N5"/>
    </sheetView>
  </sheetViews>
  <sheetFormatPr baseColWidth="10" defaultColWidth="9.140625" defaultRowHeight="15" x14ac:dyDescent="0.25"/>
  <cols>
    <col min="1" max="16" width="8.7109375" style="1" customWidth="1"/>
    <col min="17" max="16384" width="9.140625" style="1"/>
  </cols>
  <sheetData>
    <row r="1" spans="1:16" ht="28.5" x14ac:dyDescent="0.25">
      <c r="A1" s="150" t="s">
        <v>375</v>
      </c>
      <c r="B1" s="150"/>
      <c r="C1" s="150"/>
      <c r="D1" s="150"/>
      <c r="E1" s="150"/>
      <c r="F1" s="150"/>
      <c r="G1" s="150"/>
      <c r="H1" s="150"/>
      <c r="I1" s="150"/>
      <c r="J1" s="150"/>
      <c r="K1" s="150"/>
      <c r="L1" s="150"/>
      <c r="M1" s="150"/>
      <c r="N1" s="150"/>
      <c r="O1" s="150"/>
      <c r="P1" s="150"/>
    </row>
    <row r="2" spans="1:16" ht="23.25" customHeight="1" thickBot="1" x14ac:dyDescent="0.3">
      <c r="A2" s="151"/>
      <c r="B2" s="151"/>
      <c r="C2" s="151"/>
      <c r="D2" s="151"/>
      <c r="E2" s="151"/>
      <c r="F2" s="151"/>
      <c r="G2" s="151"/>
      <c r="H2" s="151"/>
      <c r="I2" s="151"/>
      <c r="J2" s="151"/>
      <c r="K2" s="151"/>
      <c r="L2" s="151"/>
      <c r="M2" s="151"/>
      <c r="N2" s="151"/>
      <c r="O2" s="151"/>
      <c r="P2" s="151"/>
    </row>
    <row r="3" spans="1:16" x14ac:dyDescent="0.25">
      <c r="A3" s="2" t="s">
        <v>1</v>
      </c>
      <c r="B3" s="103" t="s">
        <v>376</v>
      </c>
      <c r="C3" s="103"/>
      <c r="D3" s="103"/>
      <c r="E3" s="103"/>
      <c r="F3" s="103"/>
      <c r="G3" s="103"/>
      <c r="H3" s="152"/>
      <c r="I3" s="101" t="s">
        <v>6</v>
      </c>
      <c r="J3" s="102"/>
      <c r="K3" s="153">
        <v>3</v>
      </c>
      <c r="L3" s="154"/>
      <c r="M3" s="101" t="s">
        <v>9</v>
      </c>
      <c r="N3" s="102"/>
      <c r="O3" s="102"/>
      <c r="P3" s="137"/>
    </row>
    <row r="4" spans="1:16" x14ac:dyDescent="0.25">
      <c r="A4" s="3" t="s">
        <v>2</v>
      </c>
      <c r="B4" s="119" t="s">
        <v>377</v>
      </c>
      <c r="C4" s="119"/>
      <c r="D4" s="119"/>
      <c r="E4" s="119"/>
      <c r="F4" s="119"/>
      <c r="G4" s="119"/>
      <c r="H4" s="141"/>
      <c r="I4" s="142" t="s">
        <v>7</v>
      </c>
      <c r="J4" s="143"/>
      <c r="K4" s="144">
        <v>24</v>
      </c>
      <c r="L4" s="145"/>
      <c r="M4" s="37" t="s">
        <v>10</v>
      </c>
      <c r="N4" s="38" t="s">
        <v>76</v>
      </c>
      <c r="O4" s="143" t="s">
        <v>11</v>
      </c>
      <c r="P4" s="146"/>
    </row>
    <row r="5" spans="1:16" ht="15.75" thickBot="1" x14ac:dyDescent="0.3">
      <c r="A5" s="4" t="s">
        <v>480</v>
      </c>
      <c r="B5" s="71" t="s">
        <v>566</v>
      </c>
      <c r="C5" s="5" t="s">
        <v>481</v>
      </c>
      <c r="D5" s="70" t="s">
        <v>375</v>
      </c>
      <c r="E5" s="74"/>
      <c r="F5" s="5" t="s">
        <v>12</v>
      </c>
      <c r="G5" s="147">
        <v>247476099</v>
      </c>
      <c r="H5" s="126"/>
      <c r="I5" s="107" t="s">
        <v>8</v>
      </c>
      <c r="J5" s="108"/>
      <c r="K5" s="148">
        <v>270</v>
      </c>
      <c r="L5" s="149"/>
      <c r="M5" s="40"/>
      <c r="N5" s="39"/>
      <c r="O5" s="148">
        <v>324</v>
      </c>
      <c r="P5" s="149"/>
    </row>
    <row r="6" spans="1:16" ht="15.75" thickBot="1" x14ac:dyDescent="0.3">
      <c r="A6" s="12"/>
      <c r="B6" s="12"/>
      <c r="C6" s="12"/>
      <c r="D6" s="12"/>
      <c r="E6" s="12"/>
      <c r="F6" s="12"/>
      <c r="G6" s="12"/>
      <c r="H6" s="12"/>
      <c r="I6" s="12"/>
      <c r="J6" s="12"/>
      <c r="K6" s="12"/>
      <c r="L6" s="12"/>
      <c r="M6" s="12"/>
      <c r="N6" s="12"/>
      <c r="O6" s="12"/>
      <c r="P6" s="12"/>
    </row>
    <row r="7" spans="1:16" ht="15.75" thickBot="1" x14ac:dyDescent="0.3">
      <c r="A7" s="138" t="s">
        <v>31</v>
      </c>
      <c r="B7" s="139"/>
      <c r="C7" s="131"/>
      <c r="D7" s="131"/>
      <c r="E7" s="131"/>
      <c r="F7" s="131"/>
      <c r="G7" s="139" t="s">
        <v>32</v>
      </c>
      <c r="H7" s="139"/>
      <c r="I7" s="140"/>
      <c r="J7" s="140"/>
      <c r="K7" s="140"/>
      <c r="L7" s="139" t="s">
        <v>33</v>
      </c>
      <c r="M7" s="139"/>
      <c r="N7" s="131"/>
      <c r="O7" s="131"/>
      <c r="P7" s="132"/>
    </row>
    <row r="8" spans="1:16" ht="15.75" thickBot="1" x14ac:dyDescent="0.3">
      <c r="A8" s="133"/>
      <c r="B8" s="133"/>
      <c r="C8" s="133"/>
      <c r="D8" s="133"/>
      <c r="E8" s="133"/>
      <c r="F8" s="133"/>
      <c r="G8" s="133"/>
      <c r="H8" s="133"/>
      <c r="I8" s="133"/>
      <c r="J8" s="133"/>
      <c r="K8" s="133"/>
      <c r="L8" s="133"/>
      <c r="M8" s="133"/>
      <c r="N8" s="133"/>
      <c r="O8" s="133"/>
      <c r="P8" s="133"/>
    </row>
    <row r="9" spans="1:16" ht="15.75" thickBot="1" x14ac:dyDescent="0.3">
      <c r="A9" s="111" t="s">
        <v>13</v>
      </c>
      <c r="B9" s="112"/>
      <c r="C9" s="112"/>
      <c r="D9" s="112"/>
      <c r="E9" s="112"/>
      <c r="F9" s="112"/>
      <c r="G9" s="112"/>
      <c r="H9" s="112"/>
      <c r="I9" s="112"/>
      <c r="J9" s="112"/>
      <c r="K9" s="112"/>
      <c r="L9" s="112"/>
      <c r="M9" s="112"/>
      <c r="N9" s="112"/>
      <c r="O9" s="112"/>
      <c r="P9" s="113"/>
    </row>
    <row r="10" spans="1:16" s="6" customFormat="1" x14ac:dyDescent="0.25">
      <c r="A10" s="134" t="s">
        <v>1</v>
      </c>
      <c r="B10" s="135"/>
      <c r="C10" s="135" t="s">
        <v>3</v>
      </c>
      <c r="D10" s="135"/>
      <c r="E10" s="135" t="s">
        <v>4</v>
      </c>
      <c r="F10" s="135"/>
      <c r="G10" s="104" t="s">
        <v>20</v>
      </c>
      <c r="H10" s="105"/>
      <c r="I10" s="104" t="s">
        <v>21</v>
      </c>
      <c r="J10" s="136"/>
      <c r="K10" s="102" t="s">
        <v>5</v>
      </c>
      <c r="L10" s="102"/>
      <c r="M10" s="102"/>
      <c r="N10" s="102"/>
      <c r="O10" s="102"/>
      <c r="P10" s="137"/>
    </row>
    <row r="11" spans="1:16" x14ac:dyDescent="0.25">
      <c r="A11" s="118" t="s">
        <v>378</v>
      </c>
      <c r="B11" s="119"/>
      <c r="C11" s="119" t="s">
        <v>336</v>
      </c>
      <c r="D11" s="119"/>
      <c r="E11" s="119" t="s">
        <v>379</v>
      </c>
      <c r="F11" s="119"/>
      <c r="G11" s="120">
        <v>247478485</v>
      </c>
      <c r="H11" s="121"/>
      <c r="I11" s="120"/>
      <c r="J11" s="122"/>
      <c r="K11" s="129" t="s">
        <v>380</v>
      </c>
      <c r="L11" s="129"/>
      <c r="M11" s="129"/>
      <c r="N11" s="129"/>
      <c r="O11" s="129"/>
      <c r="P11" s="130"/>
    </row>
    <row r="12" spans="1:16" x14ac:dyDescent="0.25">
      <c r="A12" s="118" t="s">
        <v>381</v>
      </c>
      <c r="B12" s="119"/>
      <c r="C12" s="119" t="s">
        <v>382</v>
      </c>
      <c r="D12" s="119"/>
      <c r="E12" s="119" t="s">
        <v>45</v>
      </c>
      <c r="F12" s="119"/>
      <c r="G12" s="120"/>
      <c r="H12" s="121"/>
      <c r="I12" s="120"/>
      <c r="J12" s="122"/>
      <c r="K12" s="158" t="s">
        <v>383</v>
      </c>
      <c r="L12" s="123"/>
      <c r="M12" s="123"/>
      <c r="N12" s="123"/>
      <c r="O12" s="123"/>
      <c r="P12" s="124"/>
    </row>
    <row r="13" spans="1:16" x14ac:dyDescent="0.25">
      <c r="A13" s="118" t="s">
        <v>384</v>
      </c>
      <c r="B13" s="119"/>
      <c r="C13" s="119" t="s">
        <v>265</v>
      </c>
      <c r="D13" s="119"/>
      <c r="E13" s="119" t="s">
        <v>385</v>
      </c>
      <c r="F13" s="119"/>
      <c r="G13" s="120"/>
      <c r="H13" s="121"/>
      <c r="I13" s="120"/>
      <c r="J13" s="122"/>
      <c r="K13" s="158" t="s">
        <v>386</v>
      </c>
      <c r="L13" s="123"/>
      <c r="M13" s="123"/>
      <c r="N13" s="123"/>
      <c r="O13" s="123"/>
      <c r="P13" s="124"/>
    </row>
    <row r="14" spans="1:16" x14ac:dyDescent="0.25">
      <c r="A14" s="118"/>
      <c r="B14" s="119"/>
      <c r="C14" s="119"/>
      <c r="D14" s="119"/>
      <c r="E14" s="119"/>
      <c r="F14" s="119"/>
      <c r="G14" s="120"/>
      <c r="H14" s="121"/>
      <c r="I14" s="120"/>
      <c r="J14" s="122"/>
      <c r="K14" s="123"/>
      <c r="L14" s="123"/>
      <c r="M14" s="123"/>
      <c r="N14" s="123"/>
      <c r="O14" s="123"/>
      <c r="P14" s="124"/>
    </row>
    <row r="15" spans="1:16" x14ac:dyDescent="0.25">
      <c r="A15" s="118"/>
      <c r="B15" s="119"/>
      <c r="C15" s="119"/>
      <c r="D15" s="119"/>
      <c r="E15" s="119"/>
      <c r="F15" s="119"/>
      <c r="G15" s="120"/>
      <c r="H15" s="121"/>
      <c r="I15" s="120"/>
      <c r="J15" s="122"/>
      <c r="K15" s="123"/>
      <c r="L15" s="123"/>
      <c r="M15" s="123"/>
      <c r="N15" s="123"/>
      <c r="O15" s="123"/>
      <c r="P15" s="124"/>
    </row>
    <row r="16" spans="1:16" ht="15.75" thickBot="1" x14ac:dyDescent="0.3">
      <c r="A16" s="125"/>
      <c r="B16" s="109"/>
      <c r="C16" s="109"/>
      <c r="D16" s="109"/>
      <c r="E16" s="109"/>
      <c r="F16" s="109"/>
      <c r="G16" s="126"/>
      <c r="H16" s="127"/>
      <c r="I16" s="126"/>
      <c r="J16" s="128"/>
      <c r="K16" s="116"/>
      <c r="L16" s="116"/>
      <c r="M16" s="116"/>
      <c r="N16" s="116"/>
      <c r="O16" s="116"/>
      <c r="P16" s="117"/>
    </row>
    <row r="17" spans="1:17" ht="15.75" thickBot="1" x14ac:dyDescent="0.3">
      <c r="A17" s="100"/>
      <c r="B17" s="100"/>
      <c r="C17" s="100"/>
      <c r="D17" s="100"/>
      <c r="E17" s="100"/>
      <c r="F17" s="100"/>
      <c r="G17" s="100"/>
      <c r="H17" s="100"/>
      <c r="I17" s="100"/>
      <c r="J17" s="100"/>
      <c r="K17" s="100"/>
      <c r="L17" s="100"/>
      <c r="M17" s="100"/>
      <c r="N17" s="100"/>
      <c r="O17" s="100"/>
      <c r="P17" s="100"/>
    </row>
    <row r="18" spans="1:17" x14ac:dyDescent="0.25">
      <c r="A18" s="101" t="s">
        <v>23</v>
      </c>
      <c r="B18" s="102"/>
      <c r="C18" s="102"/>
      <c r="D18" s="103"/>
      <c r="E18" s="103"/>
      <c r="F18" s="103"/>
      <c r="G18" s="103"/>
      <c r="H18" s="103"/>
      <c r="I18" s="103"/>
      <c r="J18" s="104" t="s">
        <v>25</v>
      </c>
      <c r="K18" s="105"/>
      <c r="L18" s="103"/>
      <c r="M18" s="103"/>
      <c r="N18" s="103"/>
      <c r="O18" s="103"/>
      <c r="P18" s="106"/>
    </row>
    <row r="19" spans="1:17" ht="15.75" thickBot="1" x14ac:dyDescent="0.3">
      <c r="A19" s="107" t="s">
        <v>24</v>
      </c>
      <c r="B19" s="108"/>
      <c r="C19" s="108"/>
      <c r="D19" s="109"/>
      <c r="E19" s="109"/>
      <c r="F19" s="109"/>
      <c r="G19" s="109"/>
      <c r="H19" s="109"/>
      <c r="I19" s="109"/>
      <c r="J19" s="108" t="s">
        <v>26</v>
      </c>
      <c r="K19" s="108"/>
      <c r="L19" s="109"/>
      <c r="M19" s="109"/>
      <c r="N19" s="109"/>
      <c r="O19" s="109"/>
      <c r="P19" s="110"/>
    </row>
    <row r="20" spans="1:17" ht="15.75" thickBot="1" x14ac:dyDescent="0.3">
      <c r="A20" s="100"/>
      <c r="B20" s="100"/>
      <c r="C20" s="100"/>
      <c r="D20" s="100"/>
      <c r="E20" s="100"/>
      <c r="F20" s="100"/>
      <c r="G20" s="100"/>
      <c r="H20" s="100"/>
      <c r="I20" s="100"/>
      <c r="J20" s="100"/>
      <c r="K20" s="100"/>
      <c r="L20" s="100"/>
      <c r="M20" s="100"/>
      <c r="N20" s="100"/>
      <c r="O20" s="100"/>
      <c r="P20" s="100"/>
    </row>
    <row r="21" spans="1:17" ht="15.75" thickBot="1" x14ac:dyDescent="0.3">
      <c r="A21" s="111" t="s">
        <v>27</v>
      </c>
      <c r="B21" s="112"/>
      <c r="C21" s="112" t="s">
        <v>28</v>
      </c>
      <c r="D21" s="112"/>
      <c r="E21" s="112"/>
      <c r="F21" s="112"/>
      <c r="G21" s="112"/>
      <c r="H21" s="112"/>
      <c r="I21" s="112"/>
      <c r="J21" s="112"/>
      <c r="K21" s="112"/>
      <c r="L21" s="112"/>
      <c r="M21" s="112"/>
      <c r="N21" s="112"/>
      <c r="O21" s="112"/>
      <c r="P21" s="113"/>
      <c r="Q21" s="7"/>
    </row>
    <row r="22" spans="1:17" ht="30" customHeight="1" x14ac:dyDescent="0.25">
      <c r="A22" s="114">
        <v>42152</v>
      </c>
      <c r="B22" s="115"/>
      <c r="C22" s="91" t="s">
        <v>387</v>
      </c>
      <c r="D22" s="91"/>
      <c r="E22" s="91"/>
      <c r="F22" s="91"/>
      <c r="G22" s="91"/>
      <c r="H22" s="91"/>
      <c r="I22" s="91"/>
      <c r="J22" s="91"/>
      <c r="K22" s="91"/>
      <c r="L22" s="91"/>
      <c r="M22" s="91"/>
      <c r="N22" s="91"/>
      <c r="O22" s="91"/>
      <c r="P22" s="92"/>
      <c r="Q22" s="7"/>
    </row>
    <row r="23" spans="1:17" ht="30" customHeight="1" x14ac:dyDescent="0.25">
      <c r="A23" s="89"/>
      <c r="B23" s="90"/>
      <c r="C23" s="97"/>
      <c r="D23" s="98"/>
      <c r="E23" s="98"/>
      <c r="F23" s="98"/>
      <c r="G23" s="98"/>
      <c r="H23" s="98"/>
      <c r="I23" s="98"/>
      <c r="J23" s="98"/>
      <c r="K23" s="98"/>
      <c r="L23" s="98"/>
      <c r="M23" s="98"/>
      <c r="N23" s="98"/>
      <c r="O23" s="98"/>
      <c r="P23" s="99"/>
      <c r="Q23" s="7"/>
    </row>
    <row r="24" spans="1:17" ht="30" customHeight="1" x14ac:dyDescent="0.25">
      <c r="A24" s="89"/>
      <c r="B24" s="90"/>
      <c r="C24" s="91"/>
      <c r="D24" s="91"/>
      <c r="E24" s="91"/>
      <c r="F24" s="91"/>
      <c r="G24" s="91"/>
      <c r="H24" s="91"/>
      <c r="I24" s="91"/>
      <c r="J24" s="91"/>
      <c r="K24" s="91"/>
      <c r="L24" s="91"/>
      <c r="M24" s="91"/>
      <c r="N24" s="91"/>
      <c r="O24" s="91"/>
      <c r="P24" s="92"/>
      <c r="Q24" s="7"/>
    </row>
    <row r="25" spans="1:17" ht="30" customHeight="1" x14ac:dyDescent="0.25">
      <c r="A25" s="89"/>
      <c r="B25" s="90"/>
      <c r="C25" s="91"/>
      <c r="D25" s="91"/>
      <c r="E25" s="91"/>
      <c r="F25" s="91"/>
      <c r="G25" s="91"/>
      <c r="H25" s="91"/>
      <c r="I25" s="91"/>
      <c r="J25" s="91"/>
      <c r="K25" s="91"/>
      <c r="L25" s="91"/>
      <c r="M25" s="91"/>
      <c r="N25" s="91"/>
      <c r="O25" s="91"/>
      <c r="P25" s="92"/>
    </row>
    <row r="26" spans="1:17" ht="30" customHeight="1" thickBot="1" x14ac:dyDescent="0.3">
      <c r="A26" s="93"/>
      <c r="B26" s="94"/>
      <c r="C26" s="95"/>
      <c r="D26" s="95"/>
      <c r="E26" s="95"/>
      <c r="F26" s="95"/>
      <c r="G26" s="95"/>
      <c r="H26" s="95"/>
      <c r="I26" s="95"/>
      <c r="J26" s="95"/>
      <c r="K26" s="95"/>
      <c r="L26" s="95"/>
      <c r="M26" s="95"/>
      <c r="N26" s="95"/>
      <c r="O26" s="95"/>
      <c r="P26" s="96"/>
    </row>
  </sheetData>
  <mergeCells count="86">
    <mergeCell ref="A1:P1"/>
    <mergeCell ref="A2:P2"/>
    <mergeCell ref="B3:H3"/>
    <mergeCell ref="I3:J3"/>
    <mergeCell ref="K3:L3"/>
    <mergeCell ref="M3:P3"/>
    <mergeCell ref="N7:P7"/>
    <mergeCell ref="B4:H4"/>
    <mergeCell ref="I4:J4"/>
    <mergeCell ref="K4:L4"/>
    <mergeCell ref="O4:P4"/>
    <mergeCell ref="G5:H5"/>
    <mergeCell ref="I5:J5"/>
    <mergeCell ref="K5:L5"/>
    <mergeCell ref="O5:P5"/>
    <mergeCell ref="A7:B7"/>
    <mergeCell ref="C7:F7"/>
    <mergeCell ref="G7:H7"/>
    <mergeCell ref="I7:K7"/>
    <mergeCell ref="L7:M7"/>
    <mergeCell ref="A8:P8"/>
    <mergeCell ref="A9:P9"/>
    <mergeCell ref="A10:B10"/>
    <mergeCell ref="C10:D10"/>
    <mergeCell ref="E10:F10"/>
    <mergeCell ref="G10:H10"/>
    <mergeCell ref="I10:J10"/>
    <mergeCell ref="K10:P10"/>
    <mergeCell ref="K12:P12"/>
    <mergeCell ref="A11:B11"/>
    <mergeCell ref="C11:D11"/>
    <mergeCell ref="E11:F11"/>
    <mergeCell ref="G11:H11"/>
    <mergeCell ref="I11:J11"/>
    <mergeCell ref="K11:P11"/>
    <mergeCell ref="A12:B12"/>
    <mergeCell ref="C12:D12"/>
    <mergeCell ref="E12:F12"/>
    <mergeCell ref="G12:H12"/>
    <mergeCell ref="I12:J12"/>
    <mergeCell ref="K14:P14"/>
    <mergeCell ref="A13:B13"/>
    <mergeCell ref="C13:D13"/>
    <mergeCell ref="E13:F13"/>
    <mergeCell ref="G13:H13"/>
    <mergeCell ref="I13:J13"/>
    <mergeCell ref="K13:P13"/>
    <mergeCell ref="A14:B14"/>
    <mergeCell ref="C14:D14"/>
    <mergeCell ref="E14:F14"/>
    <mergeCell ref="G14:H14"/>
    <mergeCell ref="I14:J14"/>
    <mergeCell ref="K16:P16"/>
    <mergeCell ref="A15:B15"/>
    <mergeCell ref="C15:D15"/>
    <mergeCell ref="E15:F15"/>
    <mergeCell ref="G15:H15"/>
    <mergeCell ref="I15:J15"/>
    <mergeCell ref="K15:P15"/>
    <mergeCell ref="A16:B16"/>
    <mergeCell ref="C16:D16"/>
    <mergeCell ref="E16:F16"/>
    <mergeCell ref="G16:H16"/>
    <mergeCell ref="I16:J16"/>
    <mergeCell ref="A23:B23"/>
    <mergeCell ref="C23:P23"/>
    <mergeCell ref="A17:P17"/>
    <mergeCell ref="A18:C18"/>
    <mergeCell ref="D18:I18"/>
    <mergeCell ref="J18:K18"/>
    <mergeCell ref="L18:P18"/>
    <mergeCell ref="A19:C19"/>
    <mergeCell ref="D19:I19"/>
    <mergeCell ref="J19:K19"/>
    <mergeCell ref="L19:P19"/>
    <mergeCell ref="A20:P20"/>
    <mergeCell ref="A21:B21"/>
    <mergeCell ref="C21:P21"/>
    <mergeCell ref="A22:B22"/>
    <mergeCell ref="C22:P22"/>
    <mergeCell ref="A24:B24"/>
    <mergeCell ref="C24:P24"/>
    <mergeCell ref="A25:B25"/>
    <mergeCell ref="C25:P25"/>
    <mergeCell ref="A26:B26"/>
    <mergeCell ref="C26:P26"/>
  </mergeCells>
  <hyperlinks>
    <hyperlink ref="K11" r:id="rId1"/>
    <hyperlink ref="K12" r:id="rId2"/>
    <hyperlink ref="K13" r:id="rId3"/>
  </hyperlinks>
  <pageMargins left="0.25" right="0.25" top="0.75" bottom="0.75" header="0.3" footer="0.3"/>
  <pageSetup paperSize="9" orientation="landscape" horizontalDpi="0" verticalDpi="0" r:id="rId4"/>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8"/>
  <dimension ref="A1:Q26"/>
  <sheetViews>
    <sheetView tabSelected="1" zoomScale="115" zoomScaleNormal="115" workbookViewId="0">
      <selection activeCell="M5" sqref="M5:N5"/>
    </sheetView>
  </sheetViews>
  <sheetFormatPr baseColWidth="10" defaultColWidth="9.140625" defaultRowHeight="15" x14ac:dyDescent="0.25"/>
  <cols>
    <col min="1" max="16" width="8.7109375" style="1" customWidth="1"/>
    <col min="17" max="16384" width="9.140625" style="1"/>
  </cols>
  <sheetData>
    <row r="1" spans="1:16" ht="28.5" x14ac:dyDescent="0.25">
      <c r="A1" s="150" t="s">
        <v>368</v>
      </c>
      <c r="B1" s="150"/>
      <c r="C1" s="150"/>
      <c r="D1" s="150"/>
      <c r="E1" s="150"/>
      <c r="F1" s="150"/>
      <c r="G1" s="150"/>
      <c r="H1" s="150"/>
      <c r="I1" s="150"/>
      <c r="J1" s="150"/>
      <c r="K1" s="150"/>
      <c r="L1" s="150"/>
      <c r="M1" s="150"/>
      <c r="N1" s="150"/>
      <c r="O1" s="150"/>
      <c r="P1" s="150"/>
    </row>
    <row r="2" spans="1:16" ht="23.25" customHeight="1" thickBot="1" x14ac:dyDescent="0.3">
      <c r="A2" s="151"/>
      <c r="B2" s="151"/>
      <c r="C2" s="151"/>
      <c r="D2" s="151"/>
      <c r="E2" s="151"/>
      <c r="F2" s="151"/>
      <c r="G2" s="151"/>
      <c r="H2" s="151"/>
      <c r="I2" s="151"/>
      <c r="J2" s="151"/>
      <c r="K2" s="151"/>
      <c r="L2" s="151"/>
      <c r="M2" s="151"/>
      <c r="N2" s="151"/>
      <c r="O2" s="151"/>
      <c r="P2" s="151"/>
    </row>
    <row r="3" spans="1:16" x14ac:dyDescent="0.25">
      <c r="A3" s="2" t="s">
        <v>1</v>
      </c>
      <c r="B3" s="103" t="s">
        <v>369</v>
      </c>
      <c r="C3" s="103"/>
      <c r="D3" s="103"/>
      <c r="E3" s="103"/>
      <c r="F3" s="103"/>
      <c r="G3" s="103"/>
      <c r="H3" s="152"/>
      <c r="I3" s="101" t="s">
        <v>6</v>
      </c>
      <c r="J3" s="102"/>
      <c r="K3" s="153">
        <v>3</v>
      </c>
      <c r="L3" s="154"/>
      <c r="M3" s="101" t="s">
        <v>9</v>
      </c>
      <c r="N3" s="102"/>
      <c r="O3" s="102"/>
      <c r="P3" s="137"/>
    </row>
    <row r="4" spans="1:16" x14ac:dyDescent="0.25">
      <c r="A4" s="3" t="s">
        <v>2</v>
      </c>
      <c r="B4" s="119" t="s">
        <v>370</v>
      </c>
      <c r="C4" s="119"/>
      <c r="D4" s="119"/>
      <c r="E4" s="119"/>
      <c r="F4" s="119"/>
      <c r="G4" s="119"/>
      <c r="H4" s="141"/>
      <c r="I4" s="142" t="s">
        <v>7</v>
      </c>
      <c r="J4" s="143"/>
      <c r="K4" s="144">
        <v>30</v>
      </c>
      <c r="L4" s="145"/>
      <c r="M4" s="37" t="s">
        <v>10</v>
      </c>
      <c r="N4" s="38" t="s">
        <v>76</v>
      </c>
      <c r="O4" s="143" t="s">
        <v>11</v>
      </c>
      <c r="P4" s="146"/>
    </row>
    <row r="5" spans="1:16" ht="15.75" thickBot="1" x14ac:dyDescent="0.3">
      <c r="A5" s="4" t="s">
        <v>480</v>
      </c>
      <c r="B5" s="71" t="s">
        <v>567</v>
      </c>
      <c r="C5" s="5" t="s">
        <v>481</v>
      </c>
      <c r="D5" s="70" t="s">
        <v>568</v>
      </c>
      <c r="E5" s="74"/>
      <c r="F5" s="5" t="s">
        <v>12</v>
      </c>
      <c r="G5" s="147">
        <v>327143333</v>
      </c>
      <c r="H5" s="126"/>
      <c r="I5" s="107" t="s">
        <v>8</v>
      </c>
      <c r="J5" s="108"/>
      <c r="K5" s="148">
        <v>350</v>
      </c>
      <c r="L5" s="149"/>
      <c r="M5" s="40">
        <v>350</v>
      </c>
      <c r="N5" s="39"/>
      <c r="O5" s="148"/>
      <c r="P5" s="149"/>
    </row>
    <row r="6" spans="1:16" ht="15.75" thickBot="1" x14ac:dyDescent="0.3">
      <c r="A6" s="12"/>
      <c r="B6" s="12"/>
      <c r="C6" s="12"/>
      <c r="D6" s="12"/>
      <c r="E6" s="12"/>
      <c r="F6" s="12"/>
      <c r="G6" s="12"/>
      <c r="H6" s="12"/>
      <c r="I6" s="12"/>
      <c r="J6" s="12"/>
      <c r="K6" s="12"/>
      <c r="L6" s="12"/>
      <c r="M6" s="12"/>
      <c r="N6" s="12"/>
      <c r="O6" s="12"/>
      <c r="P6" s="12"/>
    </row>
    <row r="7" spans="1:16" ht="15.75" thickBot="1" x14ac:dyDescent="0.3">
      <c r="A7" s="138" t="s">
        <v>31</v>
      </c>
      <c r="B7" s="139"/>
      <c r="C7" s="131"/>
      <c r="D7" s="131"/>
      <c r="E7" s="131"/>
      <c r="F7" s="131"/>
      <c r="G7" s="139" t="s">
        <v>32</v>
      </c>
      <c r="H7" s="139"/>
      <c r="I7" s="140"/>
      <c r="J7" s="140"/>
      <c r="K7" s="140"/>
      <c r="L7" s="139" t="s">
        <v>33</v>
      </c>
      <c r="M7" s="139"/>
      <c r="N7" s="131"/>
      <c r="O7" s="131"/>
      <c r="P7" s="132"/>
    </row>
    <row r="8" spans="1:16" ht="15.75" thickBot="1" x14ac:dyDescent="0.3">
      <c r="A8" s="133"/>
      <c r="B8" s="133"/>
      <c r="C8" s="133"/>
      <c r="D8" s="133"/>
      <c r="E8" s="133"/>
      <c r="F8" s="133"/>
      <c r="G8" s="133"/>
      <c r="H8" s="133"/>
      <c r="I8" s="133"/>
      <c r="J8" s="133"/>
      <c r="K8" s="133"/>
      <c r="L8" s="133"/>
      <c r="M8" s="133"/>
      <c r="N8" s="133"/>
      <c r="O8" s="133"/>
      <c r="P8" s="133"/>
    </row>
    <row r="9" spans="1:16" ht="15.75" thickBot="1" x14ac:dyDescent="0.3">
      <c r="A9" s="111" t="s">
        <v>13</v>
      </c>
      <c r="B9" s="112"/>
      <c r="C9" s="112"/>
      <c r="D9" s="112"/>
      <c r="E9" s="112"/>
      <c r="F9" s="112"/>
      <c r="G9" s="112"/>
      <c r="H9" s="112"/>
      <c r="I9" s="112"/>
      <c r="J9" s="112"/>
      <c r="K9" s="112"/>
      <c r="L9" s="112"/>
      <c r="M9" s="112"/>
      <c r="N9" s="112"/>
      <c r="O9" s="112"/>
      <c r="P9" s="113"/>
    </row>
    <row r="10" spans="1:16" s="6" customFormat="1" x14ac:dyDescent="0.25">
      <c r="A10" s="134" t="s">
        <v>1</v>
      </c>
      <c r="B10" s="135"/>
      <c r="C10" s="135" t="s">
        <v>3</v>
      </c>
      <c r="D10" s="135"/>
      <c r="E10" s="135" t="s">
        <v>4</v>
      </c>
      <c r="F10" s="135"/>
      <c r="G10" s="104" t="s">
        <v>20</v>
      </c>
      <c r="H10" s="105"/>
      <c r="I10" s="104" t="s">
        <v>21</v>
      </c>
      <c r="J10" s="136"/>
      <c r="K10" s="102" t="s">
        <v>5</v>
      </c>
      <c r="L10" s="102"/>
      <c r="M10" s="102"/>
      <c r="N10" s="102"/>
      <c r="O10" s="102"/>
      <c r="P10" s="137"/>
    </row>
    <row r="11" spans="1:16" x14ac:dyDescent="0.25">
      <c r="A11" s="118" t="s">
        <v>371</v>
      </c>
      <c r="B11" s="119"/>
      <c r="C11" s="119" t="s">
        <v>372</v>
      </c>
      <c r="D11" s="119"/>
      <c r="E11" s="119" t="s">
        <v>71</v>
      </c>
      <c r="F11" s="119"/>
      <c r="G11" s="120">
        <v>327143792</v>
      </c>
      <c r="H11" s="121"/>
      <c r="I11" s="120"/>
      <c r="J11" s="122"/>
      <c r="K11" s="129" t="s">
        <v>373</v>
      </c>
      <c r="L11" s="129"/>
      <c r="M11" s="129"/>
      <c r="N11" s="129"/>
      <c r="O11" s="129"/>
      <c r="P11" s="130"/>
    </row>
    <row r="12" spans="1:16" x14ac:dyDescent="0.25">
      <c r="A12" s="118"/>
      <c r="B12" s="119"/>
      <c r="C12" s="119"/>
      <c r="D12" s="119"/>
      <c r="E12" s="119"/>
      <c r="F12" s="119"/>
      <c r="G12" s="120"/>
      <c r="H12" s="121"/>
      <c r="I12" s="120"/>
      <c r="J12" s="122"/>
      <c r="K12" s="123"/>
      <c r="L12" s="123"/>
      <c r="M12" s="123"/>
      <c r="N12" s="123"/>
      <c r="O12" s="123"/>
      <c r="P12" s="124"/>
    </row>
    <row r="13" spans="1:16" x14ac:dyDescent="0.25">
      <c r="A13" s="118"/>
      <c r="B13" s="119"/>
      <c r="C13" s="119"/>
      <c r="D13" s="119"/>
      <c r="E13" s="119"/>
      <c r="F13" s="119"/>
      <c r="G13" s="120"/>
      <c r="H13" s="121"/>
      <c r="I13" s="120"/>
      <c r="J13" s="122"/>
      <c r="K13" s="123"/>
      <c r="L13" s="123"/>
      <c r="M13" s="123"/>
      <c r="N13" s="123"/>
      <c r="O13" s="123"/>
      <c r="P13" s="124"/>
    </row>
    <row r="14" spans="1:16" x14ac:dyDescent="0.25">
      <c r="A14" s="118"/>
      <c r="B14" s="119"/>
      <c r="C14" s="119"/>
      <c r="D14" s="119"/>
      <c r="E14" s="119"/>
      <c r="F14" s="119"/>
      <c r="G14" s="120"/>
      <c r="H14" s="121"/>
      <c r="I14" s="120"/>
      <c r="J14" s="122"/>
      <c r="K14" s="123"/>
      <c r="L14" s="123"/>
      <c r="M14" s="123"/>
      <c r="N14" s="123"/>
      <c r="O14" s="123"/>
      <c r="P14" s="124"/>
    </row>
    <row r="15" spans="1:16" x14ac:dyDescent="0.25">
      <c r="A15" s="118"/>
      <c r="B15" s="119"/>
      <c r="C15" s="119"/>
      <c r="D15" s="119"/>
      <c r="E15" s="119"/>
      <c r="F15" s="119"/>
      <c r="G15" s="120"/>
      <c r="H15" s="121"/>
      <c r="I15" s="120"/>
      <c r="J15" s="122"/>
      <c r="K15" s="123"/>
      <c r="L15" s="123"/>
      <c r="M15" s="123"/>
      <c r="N15" s="123"/>
      <c r="O15" s="123"/>
      <c r="P15" s="124"/>
    </row>
    <row r="16" spans="1:16" ht="15.75" thickBot="1" x14ac:dyDescent="0.3">
      <c r="A16" s="125"/>
      <c r="B16" s="109"/>
      <c r="C16" s="109"/>
      <c r="D16" s="109"/>
      <c r="E16" s="109"/>
      <c r="F16" s="109"/>
      <c r="G16" s="126"/>
      <c r="H16" s="127"/>
      <c r="I16" s="126"/>
      <c r="J16" s="128"/>
      <c r="K16" s="116"/>
      <c r="L16" s="116"/>
      <c r="M16" s="116"/>
      <c r="N16" s="116"/>
      <c r="O16" s="116"/>
      <c r="P16" s="117"/>
    </row>
    <row r="17" spans="1:17" ht="15.75" thickBot="1" x14ac:dyDescent="0.3">
      <c r="A17" s="100"/>
      <c r="B17" s="100"/>
      <c r="C17" s="100"/>
      <c r="D17" s="100"/>
      <c r="E17" s="100"/>
      <c r="F17" s="100"/>
      <c r="G17" s="100"/>
      <c r="H17" s="100"/>
      <c r="I17" s="100"/>
      <c r="J17" s="100"/>
      <c r="K17" s="100"/>
      <c r="L17" s="100"/>
      <c r="M17" s="100"/>
      <c r="N17" s="100"/>
      <c r="O17" s="100"/>
      <c r="P17" s="100"/>
    </row>
    <row r="18" spans="1:17" x14ac:dyDescent="0.25">
      <c r="A18" s="101" t="s">
        <v>23</v>
      </c>
      <c r="B18" s="102"/>
      <c r="C18" s="102"/>
      <c r="D18" s="103"/>
      <c r="E18" s="103"/>
      <c r="F18" s="103"/>
      <c r="G18" s="103"/>
      <c r="H18" s="103"/>
      <c r="I18" s="103"/>
      <c r="J18" s="104" t="s">
        <v>25</v>
      </c>
      <c r="K18" s="105"/>
      <c r="L18" s="103"/>
      <c r="M18" s="103"/>
      <c r="N18" s="103"/>
      <c r="O18" s="103"/>
      <c r="P18" s="106"/>
    </row>
    <row r="19" spans="1:17" ht="15.75" thickBot="1" x14ac:dyDescent="0.3">
      <c r="A19" s="107" t="s">
        <v>24</v>
      </c>
      <c r="B19" s="108"/>
      <c r="C19" s="108"/>
      <c r="D19" s="109"/>
      <c r="E19" s="109"/>
      <c r="F19" s="109"/>
      <c r="G19" s="109"/>
      <c r="H19" s="109"/>
      <c r="I19" s="109"/>
      <c r="J19" s="108" t="s">
        <v>26</v>
      </c>
      <c r="K19" s="108"/>
      <c r="L19" s="109"/>
      <c r="M19" s="109"/>
      <c r="N19" s="109"/>
      <c r="O19" s="109"/>
      <c r="P19" s="110"/>
    </row>
    <row r="20" spans="1:17" ht="15.75" thickBot="1" x14ac:dyDescent="0.3">
      <c r="A20" s="100"/>
      <c r="B20" s="100"/>
      <c r="C20" s="100"/>
      <c r="D20" s="100"/>
      <c r="E20" s="100"/>
      <c r="F20" s="100"/>
      <c r="G20" s="100"/>
      <c r="H20" s="100"/>
      <c r="I20" s="100"/>
      <c r="J20" s="100"/>
      <c r="K20" s="100"/>
      <c r="L20" s="100"/>
      <c r="M20" s="100"/>
      <c r="N20" s="100"/>
      <c r="O20" s="100"/>
      <c r="P20" s="100"/>
    </row>
    <row r="21" spans="1:17" ht="15.75" thickBot="1" x14ac:dyDescent="0.3">
      <c r="A21" s="111" t="s">
        <v>27</v>
      </c>
      <c r="B21" s="112"/>
      <c r="C21" s="112" t="s">
        <v>28</v>
      </c>
      <c r="D21" s="112"/>
      <c r="E21" s="112"/>
      <c r="F21" s="112"/>
      <c r="G21" s="112"/>
      <c r="H21" s="112"/>
      <c r="I21" s="112"/>
      <c r="J21" s="112"/>
      <c r="K21" s="112"/>
      <c r="L21" s="112"/>
      <c r="M21" s="112"/>
      <c r="N21" s="112"/>
      <c r="O21" s="112"/>
      <c r="P21" s="113"/>
      <c r="Q21" s="7"/>
    </row>
    <row r="22" spans="1:17" ht="30" customHeight="1" x14ac:dyDescent="0.25">
      <c r="A22" s="114">
        <v>42152</v>
      </c>
      <c r="B22" s="115"/>
      <c r="C22" s="91" t="s">
        <v>374</v>
      </c>
      <c r="D22" s="91"/>
      <c r="E22" s="91"/>
      <c r="F22" s="91"/>
      <c r="G22" s="91"/>
      <c r="H22" s="91"/>
      <c r="I22" s="91"/>
      <c r="J22" s="91"/>
      <c r="K22" s="91"/>
      <c r="L22" s="91"/>
      <c r="M22" s="91"/>
      <c r="N22" s="91"/>
      <c r="O22" s="91"/>
      <c r="P22" s="92"/>
      <c r="Q22" s="7"/>
    </row>
    <row r="23" spans="1:17" ht="30" customHeight="1" x14ac:dyDescent="0.25">
      <c r="A23" s="89"/>
      <c r="B23" s="90"/>
      <c r="C23" s="97"/>
      <c r="D23" s="98"/>
      <c r="E23" s="98"/>
      <c r="F23" s="98"/>
      <c r="G23" s="98"/>
      <c r="H23" s="98"/>
      <c r="I23" s="98"/>
      <c r="J23" s="98"/>
      <c r="K23" s="98"/>
      <c r="L23" s="98"/>
      <c r="M23" s="98"/>
      <c r="N23" s="98"/>
      <c r="O23" s="98"/>
      <c r="P23" s="99"/>
      <c r="Q23" s="7"/>
    </row>
    <row r="24" spans="1:17" ht="30" customHeight="1" x14ac:dyDescent="0.25">
      <c r="A24" s="89"/>
      <c r="B24" s="90"/>
      <c r="C24" s="91"/>
      <c r="D24" s="91"/>
      <c r="E24" s="91"/>
      <c r="F24" s="91"/>
      <c r="G24" s="91"/>
      <c r="H24" s="91"/>
      <c r="I24" s="91"/>
      <c r="J24" s="91"/>
      <c r="K24" s="91"/>
      <c r="L24" s="91"/>
      <c r="M24" s="91"/>
      <c r="N24" s="91"/>
      <c r="O24" s="91"/>
      <c r="P24" s="92"/>
      <c r="Q24" s="7"/>
    </row>
    <row r="25" spans="1:17" ht="30" customHeight="1" x14ac:dyDescent="0.25">
      <c r="A25" s="89"/>
      <c r="B25" s="90"/>
      <c r="C25" s="91"/>
      <c r="D25" s="91"/>
      <c r="E25" s="91"/>
      <c r="F25" s="91"/>
      <c r="G25" s="91"/>
      <c r="H25" s="91"/>
      <c r="I25" s="91"/>
      <c r="J25" s="91"/>
      <c r="K25" s="91"/>
      <c r="L25" s="91"/>
      <c r="M25" s="91"/>
      <c r="N25" s="91"/>
      <c r="O25" s="91"/>
      <c r="P25" s="92"/>
    </row>
    <row r="26" spans="1:17" ht="30" customHeight="1" thickBot="1" x14ac:dyDescent="0.3">
      <c r="A26" s="93"/>
      <c r="B26" s="94"/>
      <c r="C26" s="95"/>
      <c r="D26" s="95"/>
      <c r="E26" s="95"/>
      <c r="F26" s="95"/>
      <c r="G26" s="95"/>
      <c r="H26" s="95"/>
      <c r="I26" s="95"/>
      <c r="J26" s="95"/>
      <c r="K26" s="95"/>
      <c r="L26" s="95"/>
      <c r="M26" s="95"/>
      <c r="N26" s="95"/>
      <c r="O26" s="95"/>
      <c r="P26" s="96"/>
    </row>
  </sheetData>
  <mergeCells count="86">
    <mergeCell ref="A1:P1"/>
    <mergeCell ref="A2:P2"/>
    <mergeCell ref="B3:H3"/>
    <mergeCell ref="I3:J3"/>
    <mergeCell ref="K3:L3"/>
    <mergeCell ref="M3:P3"/>
    <mergeCell ref="N7:P7"/>
    <mergeCell ref="B4:H4"/>
    <mergeCell ref="I4:J4"/>
    <mergeCell ref="K4:L4"/>
    <mergeCell ref="O4:P4"/>
    <mergeCell ref="G5:H5"/>
    <mergeCell ref="I5:J5"/>
    <mergeCell ref="K5:L5"/>
    <mergeCell ref="O5:P5"/>
    <mergeCell ref="A7:B7"/>
    <mergeCell ref="C7:F7"/>
    <mergeCell ref="G7:H7"/>
    <mergeCell ref="I7:K7"/>
    <mergeCell ref="L7:M7"/>
    <mergeCell ref="A8:P8"/>
    <mergeCell ref="A9:P9"/>
    <mergeCell ref="A10:B10"/>
    <mergeCell ref="C10:D10"/>
    <mergeCell ref="E10:F10"/>
    <mergeCell ref="G10:H10"/>
    <mergeCell ref="I10:J10"/>
    <mergeCell ref="K10:P10"/>
    <mergeCell ref="K12:P12"/>
    <mergeCell ref="A11:B11"/>
    <mergeCell ref="C11:D11"/>
    <mergeCell ref="E11:F11"/>
    <mergeCell ref="G11:H11"/>
    <mergeCell ref="I11:J11"/>
    <mergeCell ref="K11:P11"/>
    <mergeCell ref="A12:B12"/>
    <mergeCell ref="C12:D12"/>
    <mergeCell ref="E12:F12"/>
    <mergeCell ref="G12:H12"/>
    <mergeCell ref="I12:J12"/>
    <mergeCell ref="K14:P14"/>
    <mergeCell ref="A13:B13"/>
    <mergeCell ref="C13:D13"/>
    <mergeCell ref="E13:F13"/>
    <mergeCell ref="G13:H13"/>
    <mergeCell ref="I13:J13"/>
    <mergeCell ref="K13:P13"/>
    <mergeCell ref="A14:B14"/>
    <mergeCell ref="C14:D14"/>
    <mergeCell ref="E14:F14"/>
    <mergeCell ref="G14:H14"/>
    <mergeCell ref="I14:J14"/>
    <mergeCell ref="K16:P16"/>
    <mergeCell ref="A15:B15"/>
    <mergeCell ref="C15:D15"/>
    <mergeCell ref="E15:F15"/>
    <mergeCell ref="G15:H15"/>
    <mergeCell ref="I15:J15"/>
    <mergeCell ref="K15:P15"/>
    <mergeCell ref="A16:B16"/>
    <mergeCell ref="C16:D16"/>
    <mergeCell ref="E16:F16"/>
    <mergeCell ref="G16:H16"/>
    <mergeCell ref="I16:J16"/>
    <mergeCell ref="A23:B23"/>
    <mergeCell ref="C23:P23"/>
    <mergeCell ref="A17:P17"/>
    <mergeCell ref="A18:C18"/>
    <mergeCell ref="D18:I18"/>
    <mergeCell ref="J18:K18"/>
    <mergeCell ref="L18:P18"/>
    <mergeCell ref="A19:C19"/>
    <mergeCell ref="D19:I19"/>
    <mergeCell ref="J19:K19"/>
    <mergeCell ref="L19:P19"/>
    <mergeCell ref="A20:P20"/>
    <mergeCell ref="A21:B21"/>
    <mergeCell ref="C21:P21"/>
    <mergeCell ref="A22:B22"/>
    <mergeCell ref="C22:P22"/>
    <mergeCell ref="A24:B24"/>
    <mergeCell ref="C24:P24"/>
    <mergeCell ref="A25:B25"/>
    <mergeCell ref="C25:P25"/>
    <mergeCell ref="A26:B26"/>
    <mergeCell ref="C26:P26"/>
  </mergeCells>
  <hyperlinks>
    <hyperlink ref="K11" r:id="rId1"/>
  </hyperlinks>
  <pageMargins left="0.25" right="0.25" top="0.75" bottom="0.75" header="0.3" footer="0.3"/>
  <pageSetup paperSize="9" orientation="landscape" horizontalDpi="0" verticalDpi="0"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9"/>
  <dimension ref="A1:Q26"/>
  <sheetViews>
    <sheetView tabSelected="1" zoomScale="115" zoomScaleNormal="115" workbookViewId="0">
      <selection activeCell="M5" sqref="M5:N5"/>
    </sheetView>
  </sheetViews>
  <sheetFormatPr baseColWidth="10" defaultColWidth="9.140625" defaultRowHeight="15" x14ac:dyDescent="0.25"/>
  <cols>
    <col min="1" max="16" width="8.7109375" style="1" customWidth="1"/>
    <col min="17" max="16384" width="9.140625" style="1"/>
  </cols>
  <sheetData>
    <row r="1" spans="1:16" ht="28.5" x14ac:dyDescent="0.25">
      <c r="A1" s="150" t="s">
        <v>360</v>
      </c>
      <c r="B1" s="150"/>
      <c r="C1" s="150"/>
      <c r="D1" s="150"/>
      <c r="E1" s="150"/>
      <c r="F1" s="150"/>
      <c r="G1" s="150"/>
      <c r="H1" s="150"/>
      <c r="I1" s="150"/>
      <c r="J1" s="150"/>
      <c r="K1" s="150"/>
      <c r="L1" s="150"/>
      <c r="M1" s="150"/>
      <c r="N1" s="150"/>
      <c r="O1" s="150"/>
      <c r="P1" s="150"/>
    </row>
    <row r="2" spans="1:16" ht="23.25" customHeight="1" thickBot="1" x14ac:dyDescent="0.3">
      <c r="A2" s="151"/>
      <c r="B2" s="151"/>
      <c r="C2" s="151"/>
      <c r="D2" s="151"/>
      <c r="E2" s="151"/>
      <c r="F2" s="151"/>
      <c r="G2" s="151"/>
      <c r="H2" s="151"/>
      <c r="I2" s="151"/>
      <c r="J2" s="151"/>
      <c r="K2" s="151"/>
      <c r="L2" s="151"/>
      <c r="M2" s="151"/>
      <c r="N2" s="151"/>
      <c r="O2" s="151"/>
      <c r="P2" s="151"/>
    </row>
    <row r="3" spans="1:16" x14ac:dyDescent="0.25">
      <c r="A3" s="2" t="s">
        <v>1</v>
      </c>
      <c r="B3" s="103" t="s">
        <v>361</v>
      </c>
      <c r="C3" s="103"/>
      <c r="D3" s="103"/>
      <c r="E3" s="103"/>
      <c r="F3" s="103"/>
      <c r="G3" s="103"/>
      <c r="H3" s="152"/>
      <c r="I3" s="101" t="s">
        <v>6</v>
      </c>
      <c r="J3" s="102"/>
      <c r="K3" s="153">
        <v>3</v>
      </c>
      <c r="L3" s="154"/>
      <c r="M3" s="101" t="s">
        <v>9</v>
      </c>
      <c r="N3" s="102"/>
      <c r="O3" s="102"/>
      <c r="P3" s="137"/>
    </row>
    <row r="4" spans="1:16" x14ac:dyDescent="0.25">
      <c r="A4" s="3" t="s">
        <v>2</v>
      </c>
      <c r="B4" s="119" t="s">
        <v>362</v>
      </c>
      <c r="C4" s="119"/>
      <c r="D4" s="119"/>
      <c r="E4" s="119"/>
      <c r="F4" s="119"/>
      <c r="G4" s="119"/>
      <c r="H4" s="141"/>
      <c r="I4" s="142" t="s">
        <v>7</v>
      </c>
      <c r="J4" s="143"/>
      <c r="K4" s="144">
        <v>24</v>
      </c>
      <c r="L4" s="145"/>
      <c r="M4" s="37" t="s">
        <v>10</v>
      </c>
      <c r="N4" s="38" t="s">
        <v>76</v>
      </c>
      <c r="O4" s="143" t="s">
        <v>11</v>
      </c>
      <c r="P4" s="146"/>
    </row>
    <row r="5" spans="1:16" ht="15.75" thickBot="1" x14ac:dyDescent="0.3">
      <c r="A5" s="4" t="s">
        <v>480</v>
      </c>
      <c r="B5" s="71" t="s">
        <v>569</v>
      </c>
      <c r="C5" s="5" t="s">
        <v>481</v>
      </c>
      <c r="D5" s="70" t="s">
        <v>570</v>
      </c>
      <c r="E5" s="74"/>
      <c r="F5" s="5" t="s">
        <v>12</v>
      </c>
      <c r="G5" s="147">
        <v>297014141</v>
      </c>
      <c r="H5" s="126"/>
      <c r="I5" s="107" t="s">
        <v>8</v>
      </c>
      <c r="J5" s="108"/>
      <c r="K5" s="148">
        <v>120</v>
      </c>
      <c r="L5" s="149"/>
      <c r="M5" s="40"/>
      <c r="N5" s="39"/>
      <c r="O5" s="148"/>
      <c r="P5" s="149"/>
    </row>
    <row r="6" spans="1:16" ht="15.75" thickBot="1" x14ac:dyDescent="0.3">
      <c r="A6" s="12"/>
      <c r="B6" s="12"/>
      <c r="C6" s="12"/>
      <c r="D6" s="12"/>
      <c r="E6" s="12"/>
      <c r="F6" s="12"/>
      <c r="G6" s="12"/>
      <c r="H6" s="12"/>
      <c r="I6" s="12"/>
      <c r="J6" s="12"/>
      <c r="K6" s="12"/>
      <c r="L6" s="12"/>
      <c r="M6" s="12"/>
      <c r="N6" s="12"/>
      <c r="O6" s="12"/>
      <c r="P6" s="12"/>
    </row>
    <row r="7" spans="1:16" ht="15.75" thickBot="1" x14ac:dyDescent="0.3">
      <c r="A7" s="138" t="s">
        <v>31</v>
      </c>
      <c r="B7" s="139"/>
      <c r="C7" s="131"/>
      <c r="D7" s="131"/>
      <c r="E7" s="131"/>
      <c r="F7" s="131"/>
      <c r="G7" s="139" t="s">
        <v>32</v>
      </c>
      <c r="H7" s="139"/>
      <c r="I7" s="140"/>
      <c r="J7" s="140"/>
      <c r="K7" s="140"/>
      <c r="L7" s="139" t="s">
        <v>33</v>
      </c>
      <c r="M7" s="139"/>
      <c r="N7" s="131"/>
      <c r="O7" s="131"/>
      <c r="P7" s="132"/>
    </row>
    <row r="8" spans="1:16" ht="15.75" thickBot="1" x14ac:dyDescent="0.3">
      <c r="A8" s="133"/>
      <c r="B8" s="133"/>
      <c r="C8" s="133"/>
      <c r="D8" s="133"/>
      <c r="E8" s="133"/>
      <c r="F8" s="133"/>
      <c r="G8" s="133"/>
      <c r="H8" s="133"/>
      <c r="I8" s="133"/>
      <c r="J8" s="133"/>
      <c r="K8" s="133"/>
      <c r="L8" s="133"/>
      <c r="M8" s="133"/>
      <c r="N8" s="133"/>
      <c r="O8" s="133"/>
      <c r="P8" s="133"/>
    </row>
    <row r="9" spans="1:16" ht="15.75" thickBot="1" x14ac:dyDescent="0.3">
      <c r="A9" s="111" t="s">
        <v>13</v>
      </c>
      <c r="B9" s="112"/>
      <c r="C9" s="112"/>
      <c r="D9" s="112"/>
      <c r="E9" s="112"/>
      <c r="F9" s="112"/>
      <c r="G9" s="112"/>
      <c r="H9" s="112"/>
      <c r="I9" s="112"/>
      <c r="J9" s="112"/>
      <c r="K9" s="112"/>
      <c r="L9" s="112"/>
      <c r="M9" s="112"/>
      <c r="N9" s="112"/>
      <c r="O9" s="112"/>
      <c r="P9" s="113"/>
    </row>
    <row r="10" spans="1:16" s="6" customFormat="1" x14ac:dyDescent="0.25">
      <c r="A10" s="134" t="s">
        <v>1</v>
      </c>
      <c r="B10" s="135"/>
      <c r="C10" s="135" t="s">
        <v>3</v>
      </c>
      <c r="D10" s="135"/>
      <c r="E10" s="135" t="s">
        <v>4</v>
      </c>
      <c r="F10" s="135"/>
      <c r="G10" s="104" t="s">
        <v>20</v>
      </c>
      <c r="H10" s="105"/>
      <c r="I10" s="104" t="s">
        <v>21</v>
      </c>
      <c r="J10" s="136"/>
      <c r="K10" s="102" t="s">
        <v>5</v>
      </c>
      <c r="L10" s="102"/>
      <c r="M10" s="102"/>
      <c r="N10" s="102"/>
      <c r="O10" s="102"/>
      <c r="P10" s="137"/>
    </row>
    <row r="11" spans="1:16" x14ac:dyDescent="0.25">
      <c r="A11" s="118" t="s">
        <v>363</v>
      </c>
      <c r="B11" s="119"/>
      <c r="C11" s="119" t="s">
        <v>364</v>
      </c>
      <c r="D11" s="119"/>
      <c r="E11" s="119" t="s">
        <v>365</v>
      </c>
      <c r="F11" s="119"/>
      <c r="G11" s="120">
        <v>297014305</v>
      </c>
      <c r="H11" s="121"/>
      <c r="I11" s="120"/>
      <c r="J11" s="122"/>
      <c r="K11" s="129" t="s">
        <v>366</v>
      </c>
      <c r="L11" s="129"/>
      <c r="M11" s="129"/>
      <c r="N11" s="129"/>
      <c r="O11" s="129"/>
      <c r="P11" s="130"/>
    </row>
    <row r="12" spans="1:16" x14ac:dyDescent="0.25">
      <c r="A12" s="118"/>
      <c r="B12" s="119"/>
      <c r="C12" s="119"/>
      <c r="D12" s="119"/>
      <c r="E12" s="119"/>
      <c r="F12" s="119"/>
      <c r="G12" s="120"/>
      <c r="H12" s="121"/>
      <c r="I12" s="120"/>
      <c r="J12" s="122"/>
      <c r="K12" s="123"/>
      <c r="L12" s="123"/>
      <c r="M12" s="123"/>
      <c r="N12" s="123"/>
      <c r="O12" s="123"/>
      <c r="P12" s="124"/>
    </row>
    <row r="13" spans="1:16" x14ac:dyDescent="0.25">
      <c r="A13" s="118"/>
      <c r="B13" s="119"/>
      <c r="C13" s="119"/>
      <c r="D13" s="119"/>
      <c r="E13" s="119"/>
      <c r="F13" s="119"/>
      <c r="G13" s="120"/>
      <c r="H13" s="121"/>
      <c r="I13" s="120"/>
      <c r="J13" s="122"/>
      <c r="K13" s="123"/>
      <c r="L13" s="123"/>
      <c r="M13" s="123"/>
      <c r="N13" s="123"/>
      <c r="O13" s="123"/>
      <c r="P13" s="124"/>
    </row>
    <row r="14" spans="1:16" x14ac:dyDescent="0.25">
      <c r="A14" s="118"/>
      <c r="B14" s="119"/>
      <c r="C14" s="119"/>
      <c r="D14" s="119"/>
      <c r="E14" s="119"/>
      <c r="F14" s="119"/>
      <c r="G14" s="120"/>
      <c r="H14" s="121"/>
      <c r="I14" s="120"/>
      <c r="J14" s="122"/>
      <c r="K14" s="123"/>
      <c r="L14" s="123"/>
      <c r="M14" s="123"/>
      <c r="N14" s="123"/>
      <c r="O14" s="123"/>
      <c r="P14" s="124"/>
    </row>
    <row r="15" spans="1:16" x14ac:dyDescent="0.25">
      <c r="A15" s="118"/>
      <c r="B15" s="119"/>
      <c r="C15" s="119"/>
      <c r="D15" s="119"/>
      <c r="E15" s="119"/>
      <c r="F15" s="119"/>
      <c r="G15" s="120"/>
      <c r="H15" s="121"/>
      <c r="I15" s="120"/>
      <c r="J15" s="122"/>
      <c r="K15" s="123"/>
      <c r="L15" s="123"/>
      <c r="M15" s="123"/>
      <c r="N15" s="123"/>
      <c r="O15" s="123"/>
      <c r="P15" s="124"/>
    </row>
    <row r="16" spans="1:16" ht="15.75" thickBot="1" x14ac:dyDescent="0.3">
      <c r="A16" s="125"/>
      <c r="B16" s="109"/>
      <c r="C16" s="109"/>
      <c r="D16" s="109"/>
      <c r="E16" s="109"/>
      <c r="F16" s="109"/>
      <c r="G16" s="126"/>
      <c r="H16" s="127"/>
      <c r="I16" s="126"/>
      <c r="J16" s="128"/>
      <c r="K16" s="116"/>
      <c r="L16" s="116"/>
      <c r="M16" s="116"/>
      <c r="N16" s="116"/>
      <c r="O16" s="116"/>
      <c r="P16" s="117"/>
    </row>
    <row r="17" spans="1:17" ht="15.75" thickBot="1" x14ac:dyDescent="0.3">
      <c r="A17" s="100"/>
      <c r="B17" s="100"/>
      <c r="C17" s="100"/>
      <c r="D17" s="100"/>
      <c r="E17" s="100"/>
      <c r="F17" s="100"/>
      <c r="G17" s="100"/>
      <c r="H17" s="100"/>
      <c r="I17" s="100"/>
      <c r="J17" s="100"/>
      <c r="K17" s="100"/>
      <c r="L17" s="100"/>
      <c r="M17" s="100"/>
      <c r="N17" s="100"/>
      <c r="O17" s="100"/>
      <c r="P17" s="100"/>
    </row>
    <row r="18" spans="1:17" x14ac:dyDescent="0.25">
      <c r="A18" s="101" t="s">
        <v>23</v>
      </c>
      <c r="B18" s="102"/>
      <c r="C18" s="102"/>
      <c r="D18" s="103"/>
      <c r="E18" s="103"/>
      <c r="F18" s="103"/>
      <c r="G18" s="103"/>
      <c r="H18" s="103"/>
      <c r="I18" s="103"/>
      <c r="J18" s="104" t="s">
        <v>25</v>
      </c>
      <c r="K18" s="105"/>
      <c r="L18" s="103"/>
      <c r="M18" s="103"/>
      <c r="N18" s="103"/>
      <c r="O18" s="103"/>
      <c r="P18" s="106"/>
    </row>
    <row r="19" spans="1:17" ht="15.75" thickBot="1" x14ac:dyDescent="0.3">
      <c r="A19" s="107" t="s">
        <v>24</v>
      </c>
      <c r="B19" s="108"/>
      <c r="C19" s="108"/>
      <c r="D19" s="109"/>
      <c r="E19" s="109"/>
      <c r="F19" s="109"/>
      <c r="G19" s="109"/>
      <c r="H19" s="109"/>
      <c r="I19" s="109"/>
      <c r="J19" s="108" t="s">
        <v>26</v>
      </c>
      <c r="K19" s="108"/>
      <c r="L19" s="109"/>
      <c r="M19" s="109"/>
      <c r="N19" s="109"/>
      <c r="O19" s="109"/>
      <c r="P19" s="110"/>
    </row>
    <row r="20" spans="1:17" ht="15.75" thickBot="1" x14ac:dyDescent="0.3">
      <c r="A20" s="100"/>
      <c r="B20" s="100"/>
      <c r="C20" s="100"/>
      <c r="D20" s="100"/>
      <c r="E20" s="100"/>
      <c r="F20" s="100"/>
      <c r="G20" s="100"/>
      <c r="H20" s="100"/>
      <c r="I20" s="100"/>
      <c r="J20" s="100"/>
      <c r="K20" s="100"/>
      <c r="L20" s="100"/>
      <c r="M20" s="100"/>
      <c r="N20" s="100"/>
      <c r="O20" s="100"/>
      <c r="P20" s="100"/>
    </row>
    <row r="21" spans="1:17" ht="15.75" thickBot="1" x14ac:dyDescent="0.3">
      <c r="A21" s="111" t="s">
        <v>27</v>
      </c>
      <c r="B21" s="112"/>
      <c r="C21" s="112" t="s">
        <v>28</v>
      </c>
      <c r="D21" s="112"/>
      <c r="E21" s="112"/>
      <c r="F21" s="112"/>
      <c r="G21" s="112"/>
      <c r="H21" s="112"/>
      <c r="I21" s="112"/>
      <c r="J21" s="112"/>
      <c r="K21" s="112"/>
      <c r="L21" s="112"/>
      <c r="M21" s="112"/>
      <c r="N21" s="112"/>
      <c r="O21" s="112"/>
      <c r="P21" s="113"/>
      <c r="Q21" s="7"/>
    </row>
    <row r="22" spans="1:17" ht="30" customHeight="1" x14ac:dyDescent="0.25">
      <c r="A22" s="114">
        <v>42152</v>
      </c>
      <c r="B22" s="115"/>
      <c r="C22" s="91" t="s">
        <v>367</v>
      </c>
      <c r="D22" s="91"/>
      <c r="E22" s="91"/>
      <c r="F22" s="91"/>
      <c r="G22" s="91"/>
      <c r="H22" s="91"/>
      <c r="I22" s="91"/>
      <c r="J22" s="91"/>
      <c r="K22" s="91"/>
      <c r="L22" s="91"/>
      <c r="M22" s="91"/>
      <c r="N22" s="91"/>
      <c r="O22" s="91"/>
      <c r="P22" s="92"/>
      <c r="Q22" s="7"/>
    </row>
    <row r="23" spans="1:17" ht="30" customHeight="1" x14ac:dyDescent="0.25">
      <c r="A23" s="89"/>
      <c r="B23" s="90"/>
      <c r="C23" s="97"/>
      <c r="D23" s="98"/>
      <c r="E23" s="98"/>
      <c r="F23" s="98"/>
      <c r="G23" s="98"/>
      <c r="H23" s="98"/>
      <c r="I23" s="98"/>
      <c r="J23" s="98"/>
      <c r="K23" s="98"/>
      <c r="L23" s="98"/>
      <c r="M23" s="98"/>
      <c r="N23" s="98"/>
      <c r="O23" s="98"/>
      <c r="P23" s="99"/>
      <c r="Q23" s="7"/>
    </row>
    <row r="24" spans="1:17" ht="30" customHeight="1" x14ac:dyDescent="0.25">
      <c r="A24" s="89"/>
      <c r="B24" s="90"/>
      <c r="C24" s="91"/>
      <c r="D24" s="91"/>
      <c r="E24" s="91"/>
      <c r="F24" s="91"/>
      <c r="G24" s="91"/>
      <c r="H24" s="91"/>
      <c r="I24" s="91"/>
      <c r="J24" s="91"/>
      <c r="K24" s="91"/>
      <c r="L24" s="91"/>
      <c r="M24" s="91"/>
      <c r="N24" s="91"/>
      <c r="O24" s="91"/>
      <c r="P24" s="92"/>
      <c r="Q24" s="7"/>
    </row>
    <row r="25" spans="1:17" ht="30" customHeight="1" x14ac:dyDescent="0.25">
      <c r="A25" s="89"/>
      <c r="B25" s="90"/>
      <c r="C25" s="91"/>
      <c r="D25" s="91"/>
      <c r="E25" s="91"/>
      <c r="F25" s="91"/>
      <c r="G25" s="91"/>
      <c r="H25" s="91"/>
      <c r="I25" s="91"/>
      <c r="J25" s="91"/>
      <c r="K25" s="91"/>
      <c r="L25" s="91"/>
      <c r="M25" s="91"/>
      <c r="N25" s="91"/>
      <c r="O25" s="91"/>
      <c r="P25" s="92"/>
    </row>
    <row r="26" spans="1:17" ht="30" customHeight="1" thickBot="1" x14ac:dyDescent="0.3">
      <c r="A26" s="93"/>
      <c r="B26" s="94"/>
      <c r="C26" s="95"/>
      <c r="D26" s="95"/>
      <c r="E26" s="95"/>
      <c r="F26" s="95"/>
      <c r="G26" s="95"/>
      <c r="H26" s="95"/>
      <c r="I26" s="95"/>
      <c r="J26" s="95"/>
      <c r="K26" s="95"/>
      <c r="L26" s="95"/>
      <c r="M26" s="95"/>
      <c r="N26" s="95"/>
      <c r="O26" s="95"/>
      <c r="P26" s="96"/>
    </row>
  </sheetData>
  <mergeCells count="86">
    <mergeCell ref="A1:P1"/>
    <mergeCell ref="A2:P2"/>
    <mergeCell ref="B3:H3"/>
    <mergeCell ref="I3:J3"/>
    <mergeCell ref="K3:L3"/>
    <mergeCell ref="M3:P3"/>
    <mergeCell ref="N7:P7"/>
    <mergeCell ref="B4:H4"/>
    <mergeCell ref="I4:J4"/>
    <mergeCell ref="K4:L4"/>
    <mergeCell ref="O4:P4"/>
    <mergeCell ref="G5:H5"/>
    <mergeCell ref="I5:J5"/>
    <mergeCell ref="K5:L5"/>
    <mergeCell ref="O5:P5"/>
    <mergeCell ref="A7:B7"/>
    <mergeCell ref="C7:F7"/>
    <mergeCell ref="G7:H7"/>
    <mergeCell ref="I7:K7"/>
    <mergeCell ref="L7:M7"/>
    <mergeCell ref="A8:P8"/>
    <mergeCell ref="A9:P9"/>
    <mergeCell ref="A10:B10"/>
    <mergeCell ref="C10:D10"/>
    <mergeCell ref="E10:F10"/>
    <mergeCell ref="G10:H10"/>
    <mergeCell ref="I10:J10"/>
    <mergeCell ref="K10:P10"/>
    <mergeCell ref="K12:P12"/>
    <mergeCell ref="A11:B11"/>
    <mergeCell ref="C11:D11"/>
    <mergeCell ref="E11:F11"/>
    <mergeCell ref="G11:H11"/>
    <mergeCell ref="I11:J11"/>
    <mergeCell ref="K11:P11"/>
    <mergeCell ref="A12:B12"/>
    <mergeCell ref="C12:D12"/>
    <mergeCell ref="E12:F12"/>
    <mergeCell ref="G12:H12"/>
    <mergeCell ref="I12:J12"/>
    <mergeCell ref="K14:P14"/>
    <mergeCell ref="A13:B13"/>
    <mergeCell ref="C13:D13"/>
    <mergeCell ref="E13:F13"/>
    <mergeCell ref="G13:H13"/>
    <mergeCell ref="I13:J13"/>
    <mergeCell ref="K13:P13"/>
    <mergeCell ref="A14:B14"/>
    <mergeCell ref="C14:D14"/>
    <mergeCell ref="E14:F14"/>
    <mergeCell ref="G14:H14"/>
    <mergeCell ref="I14:J14"/>
    <mergeCell ref="K16:P16"/>
    <mergeCell ref="A15:B15"/>
    <mergeCell ref="C15:D15"/>
    <mergeCell ref="E15:F15"/>
    <mergeCell ref="G15:H15"/>
    <mergeCell ref="I15:J15"/>
    <mergeCell ref="K15:P15"/>
    <mergeCell ref="A16:B16"/>
    <mergeCell ref="C16:D16"/>
    <mergeCell ref="E16:F16"/>
    <mergeCell ref="G16:H16"/>
    <mergeCell ref="I16:J16"/>
    <mergeCell ref="A23:B23"/>
    <mergeCell ref="C23:P23"/>
    <mergeCell ref="A17:P17"/>
    <mergeCell ref="A18:C18"/>
    <mergeCell ref="D18:I18"/>
    <mergeCell ref="J18:K18"/>
    <mergeCell ref="L18:P18"/>
    <mergeCell ref="A19:C19"/>
    <mergeCell ref="D19:I19"/>
    <mergeCell ref="J19:K19"/>
    <mergeCell ref="L19:P19"/>
    <mergeCell ref="A20:P20"/>
    <mergeCell ref="A21:B21"/>
    <mergeCell ref="C21:P21"/>
    <mergeCell ref="A22:B22"/>
    <mergeCell ref="C22:P22"/>
    <mergeCell ref="A24:B24"/>
    <mergeCell ref="C24:P24"/>
    <mergeCell ref="A25:B25"/>
    <mergeCell ref="C25:P25"/>
    <mergeCell ref="A26:B26"/>
    <mergeCell ref="C26:P26"/>
  </mergeCells>
  <hyperlinks>
    <hyperlink ref="K11" r:id="rId1"/>
  </hyperlinks>
  <pageMargins left="0.25" right="0.25" top="0.75" bottom="0.75" header="0.3" footer="0.3"/>
  <pageSetup paperSize="9" orientation="landscape" horizontalDpi="0" verticalDpi="0"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0"/>
  <dimension ref="A1:Q26"/>
  <sheetViews>
    <sheetView tabSelected="1" zoomScale="115" zoomScaleNormal="115" workbookViewId="0">
      <selection activeCell="M5" sqref="M5:N5"/>
    </sheetView>
  </sheetViews>
  <sheetFormatPr baseColWidth="10" defaultColWidth="9.140625" defaultRowHeight="15" x14ac:dyDescent="0.25"/>
  <cols>
    <col min="1" max="16" width="8.7109375" style="1" customWidth="1"/>
    <col min="17" max="16384" width="9.140625" style="1"/>
  </cols>
  <sheetData>
    <row r="1" spans="1:16" ht="28.5" x14ac:dyDescent="0.25">
      <c r="A1" s="150" t="s">
        <v>352</v>
      </c>
      <c r="B1" s="150"/>
      <c r="C1" s="150"/>
      <c r="D1" s="150"/>
      <c r="E1" s="150"/>
      <c r="F1" s="150"/>
      <c r="G1" s="150"/>
      <c r="H1" s="150"/>
      <c r="I1" s="150"/>
      <c r="J1" s="150"/>
      <c r="K1" s="150"/>
      <c r="L1" s="150"/>
      <c r="M1" s="150"/>
      <c r="N1" s="150"/>
      <c r="O1" s="150"/>
      <c r="P1" s="150"/>
    </row>
    <row r="2" spans="1:16" ht="23.25" customHeight="1" thickBot="1" x14ac:dyDescent="0.3">
      <c r="A2" s="151"/>
      <c r="B2" s="151"/>
      <c r="C2" s="151"/>
      <c r="D2" s="151"/>
      <c r="E2" s="151"/>
      <c r="F2" s="151"/>
      <c r="G2" s="151"/>
      <c r="H2" s="151"/>
      <c r="I2" s="151"/>
      <c r="J2" s="151"/>
      <c r="K2" s="151"/>
      <c r="L2" s="151"/>
      <c r="M2" s="151"/>
      <c r="N2" s="151"/>
      <c r="O2" s="151"/>
      <c r="P2" s="151"/>
    </row>
    <row r="3" spans="1:16" x14ac:dyDescent="0.25">
      <c r="A3" s="2" t="s">
        <v>1</v>
      </c>
      <c r="B3" s="103" t="s">
        <v>353</v>
      </c>
      <c r="C3" s="103"/>
      <c r="D3" s="103"/>
      <c r="E3" s="103"/>
      <c r="F3" s="103"/>
      <c r="G3" s="103"/>
      <c r="H3" s="152"/>
      <c r="I3" s="101" t="s">
        <v>6</v>
      </c>
      <c r="J3" s="102"/>
      <c r="K3" s="153" t="s">
        <v>37</v>
      </c>
      <c r="L3" s="154"/>
      <c r="M3" s="101" t="s">
        <v>9</v>
      </c>
      <c r="N3" s="102"/>
      <c r="O3" s="102"/>
      <c r="P3" s="137"/>
    </row>
    <row r="4" spans="1:16" x14ac:dyDescent="0.25">
      <c r="A4" s="3" t="s">
        <v>2</v>
      </c>
      <c r="B4" s="119" t="s">
        <v>354</v>
      </c>
      <c r="C4" s="119"/>
      <c r="D4" s="119"/>
      <c r="E4" s="119"/>
      <c r="F4" s="119"/>
      <c r="G4" s="119"/>
      <c r="H4" s="141"/>
      <c r="I4" s="142" t="s">
        <v>7</v>
      </c>
      <c r="J4" s="143"/>
      <c r="K4" s="144">
        <v>6</v>
      </c>
      <c r="L4" s="145"/>
      <c r="M4" s="66" t="s">
        <v>10</v>
      </c>
      <c r="N4" s="67" t="s">
        <v>76</v>
      </c>
      <c r="O4" s="143" t="s">
        <v>11</v>
      </c>
      <c r="P4" s="146"/>
    </row>
    <row r="5" spans="1:16" ht="15.75" thickBot="1" x14ac:dyDescent="0.3">
      <c r="A5" s="4" t="s">
        <v>480</v>
      </c>
      <c r="B5" s="71" t="s">
        <v>571</v>
      </c>
      <c r="C5" s="5" t="s">
        <v>481</v>
      </c>
      <c r="D5" s="70" t="s">
        <v>572</v>
      </c>
      <c r="E5" s="74"/>
      <c r="F5" s="5" t="s">
        <v>12</v>
      </c>
      <c r="G5" s="147">
        <v>476671515</v>
      </c>
      <c r="H5" s="126"/>
      <c r="I5" s="107" t="s">
        <v>8</v>
      </c>
      <c r="J5" s="108"/>
      <c r="K5" s="148">
        <v>100</v>
      </c>
      <c r="L5" s="149"/>
      <c r="M5" s="69"/>
      <c r="N5" s="68"/>
      <c r="O5" s="148">
        <v>120</v>
      </c>
      <c r="P5" s="149"/>
    </row>
    <row r="6" spans="1:16" ht="15.75" thickBot="1" x14ac:dyDescent="0.3">
      <c r="A6" s="12"/>
      <c r="B6" s="12"/>
      <c r="C6" s="12"/>
      <c r="D6" s="12"/>
      <c r="E6" s="12"/>
      <c r="F6" s="12"/>
      <c r="G6" s="12"/>
      <c r="H6" s="12"/>
      <c r="I6" s="12"/>
      <c r="J6" s="12"/>
      <c r="K6" s="12"/>
      <c r="L6" s="12"/>
      <c r="M6" s="12"/>
      <c r="N6" s="12"/>
      <c r="O6" s="12"/>
      <c r="P6" s="12"/>
    </row>
    <row r="7" spans="1:16" ht="15.75" thickBot="1" x14ac:dyDescent="0.3">
      <c r="A7" s="138" t="s">
        <v>31</v>
      </c>
      <c r="B7" s="139"/>
      <c r="C7" s="131"/>
      <c r="D7" s="131"/>
      <c r="E7" s="131"/>
      <c r="F7" s="131"/>
      <c r="G7" s="139" t="s">
        <v>32</v>
      </c>
      <c r="H7" s="139"/>
      <c r="I7" s="140"/>
      <c r="J7" s="140"/>
      <c r="K7" s="140"/>
      <c r="L7" s="139" t="s">
        <v>33</v>
      </c>
      <c r="M7" s="139"/>
      <c r="N7" s="131"/>
      <c r="O7" s="131"/>
      <c r="P7" s="132"/>
    </row>
    <row r="8" spans="1:16" ht="15.75" thickBot="1" x14ac:dyDescent="0.3">
      <c r="A8" s="133"/>
      <c r="B8" s="133"/>
      <c r="C8" s="133"/>
      <c r="D8" s="133"/>
      <c r="E8" s="133"/>
      <c r="F8" s="133"/>
      <c r="G8" s="133"/>
      <c r="H8" s="133"/>
      <c r="I8" s="133"/>
      <c r="J8" s="133"/>
      <c r="K8" s="133"/>
      <c r="L8" s="133"/>
      <c r="M8" s="133"/>
      <c r="N8" s="133"/>
      <c r="O8" s="133"/>
      <c r="P8" s="133"/>
    </row>
    <row r="9" spans="1:16" ht="15.75" thickBot="1" x14ac:dyDescent="0.3">
      <c r="A9" s="111" t="s">
        <v>13</v>
      </c>
      <c r="B9" s="112"/>
      <c r="C9" s="112"/>
      <c r="D9" s="112"/>
      <c r="E9" s="112"/>
      <c r="F9" s="112"/>
      <c r="G9" s="112"/>
      <c r="H9" s="112"/>
      <c r="I9" s="112"/>
      <c r="J9" s="112"/>
      <c r="K9" s="112"/>
      <c r="L9" s="112"/>
      <c r="M9" s="112"/>
      <c r="N9" s="112"/>
      <c r="O9" s="112"/>
      <c r="P9" s="113"/>
    </row>
    <row r="10" spans="1:16" s="6" customFormat="1" x14ac:dyDescent="0.25">
      <c r="A10" s="134" t="s">
        <v>1</v>
      </c>
      <c r="B10" s="135"/>
      <c r="C10" s="135" t="s">
        <v>3</v>
      </c>
      <c r="D10" s="135"/>
      <c r="E10" s="135" t="s">
        <v>4</v>
      </c>
      <c r="F10" s="135"/>
      <c r="G10" s="104" t="s">
        <v>20</v>
      </c>
      <c r="H10" s="105"/>
      <c r="I10" s="104" t="s">
        <v>21</v>
      </c>
      <c r="J10" s="136"/>
      <c r="K10" s="102" t="s">
        <v>5</v>
      </c>
      <c r="L10" s="102"/>
      <c r="M10" s="102"/>
      <c r="N10" s="102"/>
      <c r="O10" s="102"/>
      <c r="P10" s="137"/>
    </row>
    <row r="11" spans="1:16" x14ac:dyDescent="0.25">
      <c r="A11" s="118" t="s">
        <v>355</v>
      </c>
      <c r="B11" s="119"/>
      <c r="C11" s="119" t="s">
        <v>356</v>
      </c>
      <c r="D11" s="119"/>
      <c r="E11" s="119" t="s">
        <v>357</v>
      </c>
      <c r="F11" s="119"/>
      <c r="G11" s="120">
        <v>123456789</v>
      </c>
      <c r="H11" s="121"/>
      <c r="I11" s="120">
        <v>987654321</v>
      </c>
      <c r="J11" s="122"/>
      <c r="K11" s="129" t="s">
        <v>358</v>
      </c>
      <c r="L11" s="129"/>
      <c r="M11" s="129"/>
      <c r="N11" s="129"/>
      <c r="O11" s="129"/>
      <c r="P11" s="130"/>
    </row>
    <row r="12" spans="1:16" x14ac:dyDescent="0.25">
      <c r="A12" s="118"/>
      <c r="B12" s="119"/>
      <c r="C12" s="119"/>
      <c r="D12" s="119"/>
      <c r="E12" s="119"/>
      <c r="F12" s="119"/>
      <c r="G12" s="120"/>
      <c r="H12" s="121"/>
      <c r="I12" s="120"/>
      <c r="J12" s="122"/>
      <c r="K12" s="123"/>
      <c r="L12" s="123"/>
      <c r="M12" s="123"/>
      <c r="N12" s="123"/>
      <c r="O12" s="123"/>
      <c r="P12" s="124"/>
    </row>
    <row r="13" spans="1:16" x14ac:dyDescent="0.25">
      <c r="A13" s="118"/>
      <c r="B13" s="119"/>
      <c r="C13" s="119"/>
      <c r="D13" s="119"/>
      <c r="E13" s="119"/>
      <c r="F13" s="119"/>
      <c r="G13" s="120"/>
      <c r="H13" s="121"/>
      <c r="I13" s="120"/>
      <c r="J13" s="122"/>
      <c r="K13" s="123"/>
      <c r="L13" s="123"/>
      <c r="M13" s="123"/>
      <c r="N13" s="123"/>
      <c r="O13" s="123"/>
      <c r="P13" s="124"/>
    </row>
    <row r="14" spans="1:16" x14ac:dyDescent="0.25">
      <c r="A14" s="118"/>
      <c r="B14" s="119"/>
      <c r="C14" s="119"/>
      <c r="D14" s="119"/>
      <c r="E14" s="119"/>
      <c r="F14" s="119"/>
      <c r="G14" s="120"/>
      <c r="H14" s="121"/>
      <c r="I14" s="120"/>
      <c r="J14" s="122"/>
      <c r="K14" s="123"/>
      <c r="L14" s="123"/>
      <c r="M14" s="123"/>
      <c r="N14" s="123"/>
      <c r="O14" s="123"/>
      <c r="P14" s="124"/>
    </row>
    <row r="15" spans="1:16" x14ac:dyDescent="0.25">
      <c r="A15" s="118"/>
      <c r="B15" s="119"/>
      <c r="C15" s="119"/>
      <c r="D15" s="119"/>
      <c r="E15" s="119"/>
      <c r="F15" s="119"/>
      <c r="G15" s="120"/>
      <c r="H15" s="121"/>
      <c r="I15" s="120"/>
      <c r="J15" s="122"/>
      <c r="K15" s="123"/>
      <c r="L15" s="123"/>
      <c r="M15" s="123"/>
      <c r="N15" s="123"/>
      <c r="O15" s="123"/>
      <c r="P15" s="124"/>
    </row>
    <row r="16" spans="1:16" ht="15.75" thickBot="1" x14ac:dyDescent="0.3">
      <c r="A16" s="125"/>
      <c r="B16" s="109"/>
      <c r="C16" s="109"/>
      <c r="D16" s="109"/>
      <c r="E16" s="109"/>
      <c r="F16" s="109"/>
      <c r="G16" s="126"/>
      <c r="H16" s="127"/>
      <c r="I16" s="126"/>
      <c r="J16" s="128"/>
      <c r="K16" s="116"/>
      <c r="L16" s="116"/>
      <c r="M16" s="116"/>
      <c r="N16" s="116"/>
      <c r="O16" s="116"/>
      <c r="P16" s="117"/>
    </row>
    <row r="17" spans="1:17" ht="15.75" thickBot="1" x14ac:dyDescent="0.3">
      <c r="A17" s="100"/>
      <c r="B17" s="100"/>
      <c r="C17" s="100"/>
      <c r="D17" s="100"/>
      <c r="E17" s="100"/>
      <c r="F17" s="100"/>
      <c r="G17" s="100"/>
      <c r="H17" s="100"/>
      <c r="I17" s="100"/>
      <c r="J17" s="100"/>
      <c r="K17" s="100"/>
      <c r="L17" s="100"/>
      <c r="M17" s="100"/>
      <c r="N17" s="100"/>
      <c r="O17" s="100"/>
      <c r="P17" s="100"/>
    </row>
    <row r="18" spans="1:17" x14ac:dyDescent="0.25">
      <c r="A18" s="101" t="s">
        <v>23</v>
      </c>
      <c r="B18" s="102"/>
      <c r="C18" s="102"/>
      <c r="D18" s="103"/>
      <c r="E18" s="103"/>
      <c r="F18" s="103"/>
      <c r="G18" s="103"/>
      <c r="H18" s="103"/>
      <c r="I18" s="103"/>
      <c r="J18" s="104" t="s">
        <v>25</v>
      </c>
      <c r="K18" s="105"/>
      <c r="L18" s="103"/>
      <c r="M18" s="103"/>
      <c r="N18" s="103"/>
      <c r="O18" s="103"/>
      <c r="P18" s="106"/>
    </row>
    <row r="19" spans="1:17" ht="15.75" thickBot="1" x14ac:dyDescent="0.3">
      <c r="A19" s="107" t="s">
        <v>24</v>
      </c>
      <c r="B19" s="108"/>
      <c r="C19" s="108"/>
      <c r="D19" s="109"/>
      <c r="E19" s="109"/>
      <c r="F19" s="109"/>
      <c r="G19" s="109"/>
      <c r="H19" s="109"/>
      <c r="I19" s="109"/>
      <c r="J19" s="108" t="s">
        <v>26</v>
      </c>
      <c r="K19" s="108"/>
      <c r="L19" s="109"/>
      <c r="M19" s="109"/>
      <c r="N19" s="109"/>
      <c r="O19" s="109"/>
      <c r="P19" s="110"/>
    </row>
    <row r="20" spans="1:17" ht="15.75" thickBot="1" x14ac:dyDescent="0.3">
      <c r="A20" s="100"/>
      <c r="B20" s="100"/>
      <c r="C20" s="100"/>
      <c r="D20" s="100"/>
      <c r="E20" s="100"/>
      <c r="F20" s="100"/>
      <c r="G20" s="100"/>
      <c r="H20" s="100"/>
      <c r="I20" s="100"/>
      <c r="J20" s="100"/>
      <c r="K20" s="100"/>
      <c r="L20" s="100"/>
      <c r="M20" s="100"/>
      <c r="N20" s="100"/>
      <c r="O20" s="100"/>
      <c r="P20" s="100"/>
    </row>
    <row r="21" spans="1:17" ht="15.75" thickBot="1" x14ac:dyDescent="0.3">
      <c r="A21" s="111" t="s">
        <v>27</v>
      </c>
      <c r="B21" s="112"/>
      <c r="C21" s="112" t="s">
        <v>28</v>
      </c>
      <c r="D21" s="112"/>
      <c r="E21" s="112"/>
      <c r="F21" s="112"/>
      <c r="G21" s="112"/>
      <c r="H21" s="112"/>
      <c r="I21" s="112"/>
      <c r="J21" s="112"/>
      <c r="K21" s="112"/>
      <c r="L21" s="112"/>
      <c r="M21" s="112"/>
      <c r="N21" s="112"/>
      <c r="O21" s="112"/>
      <c r="P21" s="113"/>
      <c r="Q21" s="7"/>
    </row>
    <row r="22" spans="1:17" ht="30" customHeight="1" x14ac:dyDescent="0.25">
      <c r="A22" s="114">
        <v>42152</v>
      </c>
      <c r="B22" s="115"/>
      <c r="C22" s="91" t="s">
        <v>359</v>
      </c>
      <c r="D22" s="91"/>
      <c r="E22" s="91"/>
      <c r="F22" s="91"/>
      <c r="G22" s="91"/>
      <c r="H22" s="91"/>
      <c r="I22" s="91"/>
      <c r="J22" s="91"/>
      <c r="K22" s="91"/>
      <c r="L22" s="91"/>
      <c r="M22" s="91"/>
      <c r="N22" s="91"/>
      <c r="O22" s="91"/>
      <c r="P22" s="92"/>
      <c r="Q22" s="7"/>
    </row>
    <row r="23" spans="1:17" ht="30" customHeight="1" x14ac:dyDescent="0.25">
      <c r="A23" s="89"/>
      <c r="B23" s="90"/>
      <c r="C23" s="97"/>
      <c r="D23" s="98"/>
      <c r="E23" s="98"/>
      <c r="F23" s="98"/>
      <c r="G23" s="98"/>
      <c r="H23" s="98"/>
      <c r="I23" s="98"/>
      <c r="J23" s="98"/>
      <c r="K23" s="98"/>
      <c r="L23" s="98"/>
      <c r="M23" s="98"/>
      <c r="N23" s="98"/>
      <c r="O23" s="98"/>
      <c r="P23" s="99"/>
      <c r="Q23" s="7"/>
    </row>
    <row r="24" spans="1:17" ht="30" customHeight="1" x14ac:dyDescent="0.25">
      <c r="A24" s="89"/>
      <c r="B24" s="90"/>
      <c r="C24" s="91"/>
      <c r="D24" s="91"/>
      <c r="E24" s="91"/>
      <c r="F24" s="91"/>
      <c r="G24" s="91"/>
      <c r="H24" s="91"/>
      <c r="I24" s="91"/>
      <c r="J24" s="91"/>
      <c r="K24" s="91"/>
      <c r="L24" s="91"/>
      <c r="M24" s="91"/>
      <c r="N24" s="91"/>
      <c r="O24" s="91"/>
      <c r="P24" s="92"/>
      <c r="Q24" s="7"/>
    </row>
    <row r="25" spans="1:17" ht="30" customHeight="1" x14ac:dyDescent="0.25">
      <c r="A25" s="89"/>
      <c r="B25" s="90"/>
      <c r="C25" s="91"/>
      <c r="D25" s="91"/>
      <c r="E25" s="91"/>
      <c r="F25" s="91"/>
      <c r="G25" s="91"/>
      <c r="H25" s="91"/>
      <c r="I25" s="91"/>
      <c r="J25" s="91"/>
      <c r="K25" s="91"/>
      <c r="L25" s="91"/>
      <c r="M25" s="91"/>
      <c r="N25" s="91"/>
      <c r="O25" s="91"/>
      <c r="P25" s="92"/>
    </row>
    <row r="26" spans="1:17" ht="30" customHeight="1" thickBot="1" x14ac:dyDescent="0.3">
      <c r="A26" s="93"/>
      <c r="B26" s="94"/>
      <c r="C26" s="95"/>
      <c r="D26" s="95"/>
      <c r="E26" s="95"/>
      <c r="F26" s="95"/>
      <c r="G26" s="95"/>
      <c r="H26" s="95"/>
      <c r="I26" s="95"/>
      <c r="J26" s="95"/>
      <c r="K26" s="95"/>
      <c r="L26" s="95"/>
      <c r="M26" s="95"/>
      <c r="N26" s="95"/>
      <c r="O26" s="95"/>
      <c r="P26" s="96"/>
    </row>
  </sheetData>
  <mergeCells count="86">
    <mergeCell ref="A1:P1"/>
    <mergeCell ref="A2:P2"/>
    <mergeCell ref="B3:H3"/>
    <mergeCell ref="I3:J3"/>
    <mergeCell ref="K3:L3"/>
    <mergeCell ref="M3:P3"/>
    <mergeCell ref="N7:P7"/>
    <mergeCell ref="B4:H4"/>
    <mergeCell ref="I4:J4"/>
    <mergeCell ref="K4:L4"/>
    <mergeCell ref="O4:P4"/>
    <mergeCell ref="G5:H5"/>
    <mergeCell ref="I5:J5"/>
    <mergeCell ref="K5:L5"/>
    <mergeCell ref="O5:P5"/>
    <mergeCell ref="A7:B7"/>
    <mergeCell ref="C7:F7"/>
    <mergeCell ref="G7:H7"/>
    <mergeCell ref="I7:K7"/>
    <mergeCell ref="L7:M7"/>
    <mergeCell ref="A8:P8"/>
    <mergeCell ref="A9:P9"/>
    <mergeCell ref="A10:B10"/>
    <mergeCell ref="C10:D10"/>
    <mergeCell ref="E10:F10"/>
    <mergeCell ref="G10:H10"/>
    <mergeCell ref="I10:J10"/>
    <mergeCell ref="K10:P10"/>
    <mergeCell ref="K12:P12"/>
    <mergeCell ref="A11:B11"/>
    <mergeCell ref="C11:D11"/>
    <mergeCell ref="E11:F11"/>
    <mergeCell ref="G11:H11"/>
    <mergeCell ref="I11:J11"/>
    <mergeCell ref="K11:P11"/>
    <mergeCell ref="A12:B12"/>
    <mergeCell ref="C12:D12"/>
    <mergeCell ref="E12:F12"/>
    <mergeCell ref="G12:H12"/>
    <mergeCell ref="I12:J12"/>
    <mergeCell ref="K14:P14"/>
    <mergeCell ref="A13:B13"/>
    <mergeCell ref="C13:D13"/>
    <mergeCell ref="E13:F13"/>
    <mergeCell ref="G13:H13"/>
    <mergeCell ref="I13:J13"/>
    <mergeCell ref="K13:P13"/>
    <mergeCell ref="A14:B14"/>
    <mergeCell ref="C14:D14"/>
    <mergeCell ref="E14:F14"/>
    <mergeCell ref="G14:H14"/>
    <mergeCell ref="I14:J14"/>
    <mergeCell ref="K16:P16"/>
    <mergeCell ref="A15:B15"/>
    <mergeCell ref="C15:D15"/>
    <mergeCell ref="E15:F15"/>
    <mergeCell ref="G15:H15"/>
    <mergeCell ref="I15:J15"/>
    <mergeCell ref="K15:P15"/>
    <mergeCell ref="A16:B16"/>
    <mergeCell ref="C16:D16"/>
    <mergeCell ref="E16:F16"/>
    <mergeCell ref="G16:H16"/>
    <mergeCell ref="I16:J16"/>
    <mergeCell ref="A23:B23"/>
    <mergeCell ref="C23:P23"/>
    <mergeCell ref="A17:P17"/>
    <mergeCell ref="A18:C18"/>
    <mergeCell ref="D18:I18"/>
    <mergeCell ref="J18:K18"/>
    <mergeCell ref="L18:P18"/>
    <mergeCell ref="A19:C19"/>
    <mergeCell ref="D19:I19"/>
    <mergeCell ref="J19:K19"/>
    <mergeCell ref="L19:P19"/>
    <mergeCell ref="A20:P20"/>
    <mergeCell ref="A21:B21"/>
    <mergeCell ref="C21:P21"/>
    <mergeCell ref="A22:B22"/>
    <mergeCell ref="C22:P22"/>
    <mergeCell ref="A24:B24"/>
    <mergeCell ref="C24:P24"/>
    <mergeCell ref="A25:B25"/>
    <mergeCell ref="C25:P25"/>
    <mergeCell ref="A26:B26"/>
    <mergeCell ref="C26:P26"/>
  </mergeCells>
  <hyperlinks>
    <hyperlink ref="K11" r:id="rId1"/>
  </hyperlinks>
  <pageMargins left="0.25" right="0.25" top="0.75" bottom="0.75" header="0.3" footer="0.3"/>
  <pageSetup paperSize="9" orientation="landscape" horizontalDpi="0" verticalDpi="0"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1">
    <tabColor rgb="FF00B050"/>
  </sheetPr>
  <dimension ref="A1:G52"/>
  <sheetViews>
    <sheetView workbookViewId="0">
      <pane ySplit="1" topLeftCell="A2" activePane="bottomLeft" state="frozen"/>
      <selection pane="bottomLeft" activeCell="G14" sqref="G14"/>
    </sheetView>
  </sheetViews>
  <sheetFormatPr baseColWidth="10" defaultRowHeight="15" x14ac:dyDescent="0.25"/>
  <cols>
    <col min="1" max="1" width="25.85546875" customWidth="1"/>
    <col min="2" max="2" width="29.42578125" style="87" customWidth="1"/>
    <col min="3" max="3" width="29.85546875" style="73" customWidth="1"/>
    <col min="4" max="4" width="25.85546875" style="73" customWidth="1"/>
    <col min="5" max="7" width="11.42578125" style="73"/>
  </cols>
  <sheetData>
    <row r="1" spans="1:4" x14ac:dyDescent="0.25">
      <c r="A1" s="72" t="s">
        <v>482</v>
      </c>
      <c r="B1" s="85" t="s">
        <v>2</v>
      </c>
      <c r="C1" s="72" t="s">
        <v>480</v>
      </c>
      <c r="D1" s="72" t="s">
        <v>483</v>
      </c>
    </row>
    <row r="2" spans="1:4" x14ac:dyDescent="0.25">
      <c r="A2" s="47" t="s">
        <v>34</v>
      </c>
      <c r="B2" s="86" t="s">
        <v>36</v>
      </c>
      <c r="C2" s="82">
        <v>47923</v>
      </c>
      <c r="D2" s="82" t="s">
        <v>489</v>
      </c>
    </row>
    <row r="3" spans="1:4" x14ac:dyDescent="0.25">
      <c r="A3" s="47" t="s">
        <v>91</v>
      </c>
      <c r="B3" s="86" t="s">
        <v>92</v>
      </c>
      <c r="C3" s="82">
        <v>84902</v>
      </c>
      <c r="D3" s="82" t="s">
        <v>493</v>
      </c>
    </row>
    <row r="4" spans="1:4" x14ac:dyDescent="0.25">
      <c r="A4" s="47" t="s">
        <v>157</v>
      </c>
      <c r="B4" s="86" t="s">
        <v>158</v>
      </c>
      <c r="C4" s="82">
        <v>62321</v>
      </c>
      <c r="D4" s="82" t="s">
        <v>515</v>
      </c>
    </row>
    <row r="5" spans="1:4" x14ac:dyDescent="0.25">
      <c r="A5" s="47" t="s">
        <v>198</v>
      </c>
      <c r="B5" s="86" t="s">
        <v>199</v>
      </c>
      <c r="C5" s="82">
        <v>62107</v>
      </c>
      <c r="D5" s="82" t="s">
        <v>519</v>
      </c>
    </row>
    <row r="6" spans="1:4" x14ac:dyDescent="0.25">
      <c r="A6" s="47" t="s">
        <v>192</v>
      </c>
      <c r="B6" s="86" t="s">
        <v>193</v>
      </c>
      <c r="C6" s="82">
        <v>73011</v>
      </c>
      <c r="D6" s="82" t="s">
        <v>499</v>
      </c>
    </row>
    <row r="7" spans="1:4" x14ac:dyDescent="0.25">
      <c r="A7" s="47" t="s">
        <v>65</v>
      </c>
      <c r="B7" s="86" t="s">
        <v>66</v>
      </c>
      <c r="C7" s="82">
        <v>62022</v>
      </c>
      <c r="D7" s="82" t="s">
        <v>491</v>
      </c>
    </row>
    <row r="8" spans="1:4" x14ac:dyDescent="0.25">
      <c r="A8" s="47" t="s">
        <v>77</v>
      </c>
      <c r="B8" s="86" t="s">
        <v>78</v>
      </c>
      <c r="C8" s="82">
        <v>89011</v>
      </c>
      <c r="D8" s="82" t="s">
        <v>492</v>
      </c>
    </row>
    <row r="9" spans="1:4" x14ac:dyDescent="0.25">
      <c r="A9" s="47" t="s">
        <v>98</v>
      </c>
      <c r="B9" s="86" t="s">
        <v>99</v>
      </c>
      <c r="C9" s="82">
        <v>50303</v>
      </c>
      <c r="D9" s="82" t="s">
        <v>497</v>
      </c>
    </row>
    <row r="10" spans="1:4" x14ac:dyDescent="0.25">
      <c r="A10" s="47" t="s">
        <v>134</v>
      </c>
      <c r="B10" s="86" t="s">
        <v>135</v>
      </c>
      <c r="C10" s="82">
        <v>60021</v>
      </c>
      <c r="D10" s="82" t="s">
        <v>511</v>
      </c>
    </row>
    <row r="11" spans="1:4" x14ac:dyDescent="0.25">
      <c r="A11" s="47" t="s">
        <v>301</v>
      </c>
      <c r="B11" s="86" t="s">
        <v>302</v>
      </c>
      <c r="C11" s="82">
        <v>94270</v>
      </c>
      <c r="D11" s="82" t="s">
        <v>300</v>
      </c>
    </row>
    <row r="12" spans="1:4" x14ac:dyDescent="0.25">
      <c r="A12" s="47" t="s">
        <v>146</v>
      </c>
      <c r="B12" s="86" t="s">
        <v>147</v>
      </c>
      <c r="C12" s="82">
        <v>41016</v>
      </c>
      <c r="D12" s="82" t="s">
        <v>495</v>
      </c>
    </row>
    <row r="13" spans="1:4" x14ac:dyDescent="0.25">
      <c r="A13" s="47" t="s">
        <v>220</v>
      </c>
      <c r="B13" s="86" t="s">
        <v>221</v>
      </c>
      <c r="C13" s="82">
        <v>49325</v>
      </c>
      <c r="D13" s="82" t="s">
        <v>523</v>
      </c>
    </row>
    <row r="14" spans="1:4" x14ac:dyDescent="0.25">
      <c r="A14" s="47" t="s">
        <v>246</v>
      </c>
      <c r="B14" s="86" t="s">
        <v>247</v>
      </c>
      <c r="C14" s="82">
        <v>77300</v>
      </c>
      <c r="D14" s="82" t="s">
        <v>245</v>
      </c>
    </row>
    <row r="15" spans="1:4" x14ac:dyDescent="0.25">
      <c r="A15" s="47" t="s">
        <v>317</v>
      </c>
      <c r="B15" s="86" t="s">
        <v>328</v>
      </c>
      <c r="C15" s="82">
        <v>62307</v>
      </c>
      <c r="D15" s="82" t="s">
        <v>545</v>
      </c>
    </row>
    <row r="16" spans="1:4" x14ac:dyDescent="0.25">
      <c r="A16" s="47" t="s">
        <v>268</v>
      </c>
      <c r="B16" s="86" t="s">
        <v>269</v>
      </c>
      <c r="C16" s="82">
        <v>77600</v>
      </c>
      <c r="D16" s="82" t="s">
        <v>533</v>
      </c>
    </row>
    <row r="17" spans="1:4" x14ac:dyDescent="0.25">
      <c r="A17" s="47" t="s">
        <v>345</v>
      </c>
      <c r="B17" s="86" t="s">
        <v>346</v>
      </c>
      <c r="C17" s="82">
        <v>22023</v>
      </c>
      <c r="D17" s="82" t="s">
        <v>552</v>
      </c>
    </row>
    <row r="18" spans="1:4" x14ac:dyDescent="0.25">
      <c r="A18" s="47" t="s">
        <v>428</v>
      </c>
      <c r="B18" s="86" t="s">
        <v>429</v>
      </c>
      <c r="C18" s="82">
        <v>17108</v>
      </c>
      <c r="D18" s="82" t="s">
        <v>427</v>
      </c>
    </row>
    <row r="19" spans="1:4" x14ac:dyDescent="0.25">
      <c r="A19" s="47" t="s">
        <v>369</v>
      </c>
      <c r="B19" s="86" t="s">
        <v>370</v>
      </c>
      <c r="C19" s="82">
        <v>59322</v>
      </c>
      <c r="D19" s="82" t="s">
        <v>568</v>
      </c>
    </row>
    <row r="20" spans="1:4" x14ac:dyDescent="0.25">
      <c r="A20" s="47" t="s">
        <v>275</v>
      </c>
      <c r="B20" s="86" t="s">
        <v>276</v>
      </c>
      <c r="C20" s="82">
        <v>85000</v>
      </c>
      <c r="D20" s="82" t="s">
        <v>274</v>
      </c>
    </row>
    <row r="21" spans="1:4" x14ac:dyDescent="0.25">
      <c r="A21" s="47" t="s">
        <v>353</v>
      </c>
      <c r="B21" s="86" t="s">
        <v>354</v>
      </c>
      <c r="C21" s="82">
        <v>38506</v>
      </c>
      <c r="D21" s="82" t="s">
        <v>572</v>
      </c>
    </row>
    <row r="22" spans="1:4" x14ac:dyDescent="0.25">
      <c r="A22" s="47" t="s">
        <v>259</v>
      </c>
      <c r="B22" s="86" t="s">
        <v>260</v>
      </c>
      <c r="C22" s="82">
        <v>67504</v>
      </c>
      <c r="D22" s="82" t="s">
        <v>531</v>
      </c>
    </row>
    <row r="23" spans="1:4" x14ac:dyDescent="0.25">
      <c r="A23" s="47" t="s">
        <v>306</v>
      </c>
      <c r="B23" s="86" t="s">
        <v>307</v>
      </c>
      <c r="C23" s="82">
        <v>72037</v>
      </c>
      <c r="D23" s="82" t="s">
        <v>541</v>
      </c>
    </row>
    <row r="24" spans="1:4" x14ac:dyDescent="0.25">
      <c r="A24" s="47" t="s">
        <v>447</v>
      </c>
      <c r="B24" s="86"/>
      <c r="C24" s="82" t="s">
        <v>549</v>
      </c>
      <c r="D24" s="82"/>
    </row>
    <row r="25" spans="1:4" x14ac:dyDescent="0.25">
      <c r="A25" s="47" t="s">
        <v>324</v>
      </c>
      <c r="B25" s="86" t="s">
        <v>325</v>
      </c>
      <c r="C25" s="82">
        <v>33500</v>
      </c>
      <c r="D25" s="82" t="s">
        <v>323</v>
      </c>
    </row>
    <row r="26" spans="1:4" x14ac:dyDescent="0.25">
      <c r="A26" s="47" t="s">
        <v>421</v>
      </c>
      <c r="B26" s="86" t="s">
        <v>422</v>
      </c>
      <c r="C26" s="82">
        <v>44606</v>
      </c>
      <c r="D26" s="82" t="s">
        <v>556</v>
      </c>
    </row>
    <row r="27" spans="1:4" x14ac:dyDescent="0.25">
      <c r="A27" s="47" t="s">
        <v>240</v>
      </c>
      <c r="B27" s="86" t="s">
        <v>241</v>
      </c>
      <c r="C27" s="82">
        <v>95600</v>
      </c>
      <c r="D27" s="82" t="s">
        <v>526</v>
      </c>
    </row>
    <row r="28" spans="1:4" x14ac:dyDescent="0.25">
      <c r="A28" s="47" t="s">
        <v>183</v>
      </c>
      <c r="B28" s="86" t="s">
        <v>184</v>
      </c>
      <c r="C28" s="82">
        <v>91100</v>
      </c>
      <c r="D28" s="82" t="s">
        <v>501</v>
      </c>
    </row>
    <row r="29" spans="1:4" x14ac:dyDescent="0.25">
      <c r="A29" s="47" t="s">
        <v>117</v>
      </c>
      <c r="B29" s="86" t="s">
        <v>118</v>
      </c>
      <c r="C29" s="82">
        <v>95107</v>
      </c>
      <c r="D29" s="82" t="s">
        <v>507</v>
      </c>
    </row>
    <row r="30" spans="1:4" x14ac:dyDescent="0.25">
      <c r="A30" s="47" t="s">
        <v>361</v>
      </c>
      <c r="B30" s="86" t="s">
        <v>362</v>
      </c>
      <c r="C30" s="82">
        <v>56017</v>
      </c>
      <c r="D30" s="82" t="s">
        <v>570</v>
      </c>
    </row>
    <row r="31" spans="1:4" x14ac:dyDescent="0.25">
      <c r="A31" s="47" t="s">
        <v>164</v>
      </c>
      <c r="B31" s="86" t="s">
        <v>165</v>
      </c>
      <c r="C31" s="82">
        <v>94010</v>
      </c>
      <c r="D31" s="82" t="s">
        <v>505</v>
      </c>
    </row>
    <row r="32" spans="1:4" x14ac:dyDescent="0.25">
      <c r="A32" s="47" t="s">
        <v>126</v>
      </c>
      <c r="B32" s="86" t="s">
        <v>127</v>
      </c>
      <c r="C32" s="82">
        <v>64109</v>
      </c>
      <c r="D32" s="82" t="s">
        <v>509</v>
      </c>
    </row>
    <row r="33" spans="1:4" x14ac:dyDescent="0.25">
      <c r="A33" s="47" t="s">
        <v>396</v>
      </c>
      <c r="B33" s="86" t="s">
        <v>397</v>
      </c>
      <c r="C33" s="82">
        <v>57126</v>
      </c>
      <c r="D33" s="82" t="s">
        <v>563</v>
      </c>
    </row>
    <row r="34" spans="1:4" x14ac:dyDescent="0.25">
      <c r="A34" s="47" t="s">
        <v>389</v>
      </c>
      <c r="B34" s="86" t="s">
        <v>390</v>
      </c>
      <c r="C34" s="82">
        <v>31059</v>
      </c>
      <c r="D34" s="82" t="s">
        <v>565</v>
      </c>
    </row>
    <row r="35" spans="1:4" x14ac:dyDescent="0.25">
      <c r="A35" s="47" t="s">
        <v>376</v>
      </c>
      <c r="B35" s="86" t="s">
        <v>377</v>
      </c>
      <c r="C35" s="82">
        <v>37000</v>
      </c>
      <c r="D35" s="82" t="s">
        <v>375</v>
      </c>
    </row>
    <row r="36" spans="1:4" x14ac:dyDescent="0.25">
      <c r="A36" s="47" t="s">
        <v>206</v>
      </c>
      <c r="B36" s="86" t="s">
        <v>207</v>
      </c>
      <c r="C36" s="82">
        <v>63003</v>
      </c>
      <c r="D36" s="82" t="s">
        <v>521</v>
      </c>
    </row>
    <row r="37" spans="1:4" x14ac:dyDescent="0.25">
      <c r="A37" s="47" t="s">
        <v>108</v>
      </c>
      <c r="B37" s="86" t="s">
        <v>113</v>
      </c>
      <c r="C37" s="82">
        <v>80054</v>
      </c>
      <c r="D37" s="82" t="s">
        <v>488</v>
      </c>
    </row>
    <row r="38" spans="1:4" x14ac:dyDescent="0.25">
      <c r="A38" s="47" t="s">
        <v>51</v>
      </c>
      <c r="B38" s="86" t="s">
        <v>52</v>
      </c>
      <c r="C38" s="82">
        <v>49933</v>
      </c>
      <c r="D38" s="82" t="s">
        <v>490</v>
      </c>
    </row>
    <row r="39" spans="1:4" x14ac:dyDescent="0.25">
      <c r="A39" s="47" t="s">
        <v>257</v>
      </c>
      <c r="B39" s="86" t="s">
        <v>258</v>
      </c>
      <c r="C39" s="82">
        <v>38700</v>
      </c>
      <c r="D39" s="82" t="s">
        <v>529</v>
      </c>
    </row>
    <row r="40" spans="1:4" x14ac:dyDescent="0.25">
      <c r="A40" s="47" t="s">
        <v>434</v>
      </c>
      <c r="B40" s="86" t="s">
        <v>435</v>
      </c>
      <c r="C40" s="82">
        <v>42244</v>
      </c>
      <c r="D40" s="82" t="s">
        <v>554</v>
      </c>
    </row>
    <row r="41" spans="1:4" x14ac:dyDescent="0.25">
      <c r="A41" s="47" t="s">
        <v>404</v>
      </c>
      <c r="B41" s="86" t="s">
        <v>405</v>
      </c>
      <c r="C41" s="82">
        <v>67098</v>
      </c>
      <c r="D41" s="82" t="s">
        <v>561</v>
      </c>
    </row>
    <row r="42" spans="1:4" x14ac:dyDescent="0.25">
      <c r="A42" s="47" t="s">
        <v>313</v>
      </c>
      <c r="B42" s="86" t="s">
        <v>314</v>
      </c>
      <c r="C42" s="82">
        <v>72058</v>
      </c>
      <c r="D42" s="82" t="s">
        <v>543</v>
      </c>
    </row>
    <row r="43" spans="1:4" x14ac:dyDescent="0.25">
      <c r="A43" s="47" t="s">
        <v>232</v>
      </c>
      <c r="B43" s="86" t="s">
        <v>233</v>
      </c>
      <c r="C43" s="82">
        <v>21000</v>
      </c>
      <c r="D43" s="82" t="s">
        <v>231</v>
      </c>
    </row>
    <row r="44" spans="1:4" x14ac:dyDescent="0.25">
      <c r="A44" s="47" t="s">
        <v>332</v>
      </c>
      <c r="B44" s="86" t="s">
        <v>334</v>
      </c>
      <c r="C44" s="82">
        <v>59024</v>
      </c>
      <c r="D44" s="82" t="s">
        <v>548</v>
      </c>
    </row>
    <row r="45" spans="1:4" x14ac:dyDescent="0.25">
      <c r="A45" s="47" t="s">
        <v>291</v>
      </c>
      <c r="B45" s="86" t="s">
        <v>292</v>
      </c>
      <c r="C45" s="82">
        <v>76290</v>
      </c>
      <c r="D45" s="82" t="s">
        <v>538</v>
      </c>
    </row>
    <row r="46" spans="1:4" x14ac:dyDescent="0.25">
      <c r="A46" s="47" t="s">
        <v>176</v>
      </c>
      <c r="B46" s="86" t="s">
        <v>177</v>
      </c>
      <c r="C46" s="82">
        <v>60109</v>
      </c>
      <c r="D46" s="82" t="s">
        <v>503</v>
      </c>
    </row>
    <row r="47" spans="1:4" x14ac:dyDescent="0.25">
      <c r="A47" s="47" t="s">
        <v>414</v>
      </c>
      <c r="B47" s="86" t="s">
        <v>415</v>
      </c>
      <c r="C47" s="82">
        <v>92151</v>
      </c>
      <c r="D47" s="82" t="s">
        <v>559</v>
      </c>
    </row>
    <row r="48" spans="1:4" x14ac:dyDescent="0.25">
      <c r="A48" s="47" t="s">
        <v>140</v>
      </c>
      <c r="B48" s="86" t="s">
        <v>141</v>
      </c>
      <c r="C48" s="82">
        <v>93143</v>
      </c>
      <c r="D48" s="82" t="s">
        <v>513</v>
      </c>
    </row>
    <row r="49" spans="1:4" x14ac:dyDescent="0.25">
      <c r="A49" s="47" t="s">
        <v>0</v>
      </c>
      <c r="B49" s="86" t="s">
        <v>14</v>
      </c>
      <c r="C49" s="82">
        <v>94360</v>
      </c>
      <c r="D49" s="82" t="s">
        <v>517</v>
      </c>
    </row>
    <row r="50" spans="1:4" x14ac:dyDescent="0.25">
      <c r="A50" s="47" t="s">
        <v>283</v>
      </c>
      <c r="B50" s="86" t="s">
        <v>284</v>
      </c>
      <c r="C50" s="82">
        <v>93156</v>
      </c>
      <c r="D50" s="82" t="s">
        <v>536</v>
      </c>
    </row>
    <row r="51" spans="1:4" x14ac:dyDescent="0.25">
      <c r="A51" s="83" t="s">
        <v>36</v>
      </c>
      <c r="B51" s="88" t="s">
        <v>113</v>
      </c>
      <c r="C51" s="84" t="s">
        <v>52</v>
      </c>
      <c r="D51" s="84" t="s">
        <v>490</v>
      </c>
    </row>
    <row r="52" spans="1:4" x14ac:dyDescent="0.25">
      <c r="A52" s="83"/>
      <c r="B52" s="88"/>
      <c r="C52" s="84"/>
      <c r="D52" s="84"/>
    </row>
  </sheetData>
  <autoFilter ref="A1:D52">
    <sortState ref="A2:D52">
      <sortCondition ref="A1:A52"/>
      <sortCondition ref="A1:A200000"/>
    </sortState>
  </autoFilter>
  <pageMargins left="0.7" right="0.7" top="0.75" bottom="0.75" header="0.3" footer="0.3"/>
  <pageSetup paperSize="9" orientation="portrait" horizontalDpi="0" verticalDpi="0" r:id="rId1"/>
  <drawing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2">
    <tabColor rgb="FFFFFF00"/>
  </sheetPr>
  <dimension ref="A1:E50"/>
  <sheetViews>
    <sheetView workbookViewId="0">
      <selection activeCell="F20" sqref="F20"/>
    </sheetView>
  </sheetViews>
  <sheetFormatPr baseColWidth="10" defaultRowHeight="15" x14ac:dyDescent="0.25"/>
  <cols>
    <col min="1" max="4" width="25.85546875" customWidth="1"/>
    <col min="5" max="5" width="29.42578125" style="51" customWidth="1"/>
  </cols>
  <sheetData>
    <row r="1" spans="1:5" x14ac:dyDescent="0.25">
      <c r="A1" s="48" t="s">
        <v>463</v>
      </c>
      <c r="B1" s="48" t="s">
        <v>477</v>
      </c>
      <c r="C1" s="48" t="s">
        <v>1</v>
      </c>
      <c r="D1" s="48" t="s">
        <v>3</v>
      </c>
      <c r="E1" s="49" t="s">
        <v>5</v>
      </c>
    </row>
    <row r="2" spans="1:5" x14ac:dyDescent="0.25">
      <c r="A2" s="47"/>
      <c r="B2" s="47"/>
      <c r="C2" s="47"/>
      <c r="D2" s="47"/>
      <c r="E2" s="64" t="s">
        <v>479</v>
      </c>
    </row>
    <row r="3" spans="1:5" x14ac:dyDescent="0.25">
      <c r="A3" s="47"/>
      <c r="B3" s="47"/>
      <c r="C3" s="47"/>
      <c r="D3" s="47"/>
      <c r="E3" s="50"/>
    </row>
    <row r="4" spans="1:5" x14ac:dyDescent="0.25">
      <c r="A4" s="47"/>
      <c r="B4" s="47"/>
      <c r="C4" s="47"/>
      <c r="D4" s="47"/>
      <c r="E4" s="50"/>
    </row>
    <row r="5" spans="1:5" x14ac:dyDescent="0.25">
      <c r="A5" s="47"/>
      <c r="B5" s="47"/>
      <c r="C5" s="47"/>
      <c r="D5" s="47"/>
      <c r="E5" s="50"/>
    </row>
    <row r="6" spans="1:5" x14ac:dyDescent="0.25">
      <c r="A6" s="47"/>
      <c r="B6" s="47"/>
      <c r="C6" s="47"/>
      <c r="D6" s="47"/>
      <c r="E6" s="50"/>
    </row>
    <row r="7" spans="1:5" x14ac:dyDescent="0.25">
      <c r="A7" s="47"/>
      <c r="B7" s="47"/>
      <c r="C7" s="47"/>
      <c r="D7" s="47"/>
      <c r="E7" s="50"/>
    </row>
    <row r="8" spans="1:5" x14ac:dyDescent="0.25">
      <c r="A8" s="47"/>
      <c r="B8" s="47"/>
      <c r="C8" s="47"/>
      <c r="D8" s="47"/>
      <c r="E8" s="50"/>
    </row>
    <row r="9" spans="1:5" x14ac:dyDescent="0.25">
      <c r="A9" s="47"/>
      <c r="B9" s="47"/>
      <c r="C9" s="47"/>
      <c r="D9" s="47"/>
      <c r="E9" s="50"/>
    </row>
    <row r="10" spans="1:5" x14ac:dyDescent="0.25">
      <c r="A10" s="47"/>
      <c r="B10" s="47"/>
      <c r="C10" s="47"/>
      <c r="D10" s="47"/>
      <c r="E10" s="50"/>
    </row>
    <row r="11" spans="1:5" x14ac:dyDescent="0.25">
      <c r="A11" s="47"/>
      <c r="B11" s="47"/>
      <c r="C11" s="47"/>
      <c r="D11" s="47"/>
      <c r="E11" s="50"/>
    </row>
    <row r="12" spans="1:5" x14ac:dyDescent="0.25">
      <c r="A12" s="47"/>
      <c r="B12" s="47"/>
      <c r="C12" s="47"/>
      <c r="D12" s="47"/>
      <c r="E12" s="50"/>
    </row>
    <row r="13" spans="1:5" x14ac:dyDescent="0.25">
      <c r="A13" s="47"/>
      <c r="B13" s="47"/>
      <c r="C13" s="47"/>
      <c r="D13" s="47"/>
      <c r="E13" s="50"/>
    </row>
    <row r="14" spans="1:5" x14ac:dyDescent="0.25">
      <c r="A14" s="47"/>
      <c r="B14" s="47"/>
      <c r="C14" s="47"/>
      <c r="D14" s="47"/>
      <c r="E14" s="50"/>
    </row>
    <row r="15" spans="1:5" x14ac:dyDescent="0.25">
      <c r="A15" s="47"/>
      <c r="B15" s="47"/>
      <c r="C15" s="47"/>
      <c r="D15" s="47"/>
      <c r="E15" s="50"/>
    </row>
    <row r="16" spans="1:5" x14ac:dyDescent="0.25">
      <c r="A16" s="47"/>
      <c r="B16" s="47"/>
      <c r="C16" s="47"/>
      <c r="D16" s="47"/>
      <c r="E16" s="50"/>
    </row>
    <row r="17" spans="1:5" x14ac:dyDescent="0.25">
      <c r="A17" s="47"/>
      <c r="B17" s="47"/>
      <c r="C17" s="47"/>
      <c r="D17" s="47"/>
      <c r="E17" s="50"/>
    </row>
    <row r="18" spans="1:5" x14ac:dyDescent="0.25">
      <c r="A18" s="47"/>
      <c r="B18" s="47"/>
      <c r="C18" s="47"/>
      <c r="D18" s="47"/>
      <c r="E18" s="50"/>
    </row>
    <row r="19" spans="1:5" x14ac:dyDescent="0.25">
      <c r="A19" s="47"/>
      <c r="B19" s="47"/>
      <c r="C19" s="47"/>
      <c r="D19" s="47"/>
      <c r="E19" s="50"/>
    </row>
    <row r="20" spans="1:5" x14ac:dyDescent="0.25">
      <c r="A20" s="47"/>
      <c r="B20" s="47"/>
      <c r="C20" s="47"/>
      <c r="D20" s="47"/>
      <c r="E20" s="50"/>
    </row>
    <row r="21" spans="1:5" x14ac:dyDescent="0.25">
      <c r="A21" s="47"/>
      <c r="B21" s="47"/>
      <c r="C21" s="47"/>
      <c r="D21" s="47"/>
      <c r="E21" s="50"/>
    </row>
    <row r="22" spans="1:5" x14ac:dyDescent="0.25">
      <c r="A22" s="47"/>
      <c r="B22" s="47"/>
      <c r="C22" s="47"/>
      <c r="D22" s="47"/>
      <c r="E22" s="50"/>
    </row>
    <row r="23" spans="1:5" x14ac:dyDescent="0.25">
      <c r="A23" s="47"/>
      <c r="B23" s="47"/>
      <c r="C23" s="47"/>
      <c r="D23" s="47"/>
      <c r="E23" s="50"/>
    </row>
    <row r="24" spans="1:5" x14ac:dyDescent="0.25">
      <c r="A24" s="47"/>
      <c r="B24" s="47"/>
      <c r="C24" s="47"/>
      <c r="D24" s="47"/>
      <c r="E24" s="50"/>
    </row>
    <row r="25" spans="1:5" x14ac:dyDescent="0.25">
      <c r="A25" s="47"/>
      <c r="B25" s="47"/>
      <c r="C25" s="47"/>
      <c r="D25" s="47"/>
      <c r="E25" s="50"/>
    </row>
    <row r="26" spans="1:5" x14ac:dyDescent="0.25">
      <c r="A26" s="47"/>
      <c r="B26" s="47"/>
      <c r="C26" s="47"/>
      <c r="D26" s="47"/>
      <c r="E26" s="50"/>
    </row>
    <row r="27" spans="1:5" x14ac:dyDescent="0.25">
      <c r="A27" s="47"/>
      <c r="B27" s="47"/>
      <c r="C27" s="47"/>
      <c r="D27" s="47"/>
      <c r="E27" s="50"/>
    </row>
    <row r="28" spans="1:5" x14ac:dyDescent="0.25">
      <c r="A28" s="47"/>
      <c r="B28" s="47"/>
      <c r="C28" s="47"/>
      <c r="D28" s="47"/>
      <c r="E28" s="50"/>
    </row>
    <row r="29" spans="1:5" x14ac:dyDescent="0.25">
      <c r="A29" s="47"/>
      <c r="B29" s="47"/>
      <c r="C29" s="47"/>
      <c r="D29" s="47"/>
      <c r="E29" s="50"/>
    </row>
    <row r="30" spans="1:5" x14ac:dyDescent="0.25">
      <c r="A30" s="47"/>
      <c r="B30" s="47"/>
      <c r="C30" s="47"/>
      <c r="D30" s="47"/>
      <c r="E30" s="50"/>
    </row>
    <row r="31" spans="1:5" x14ac:dyDescent="0.25">
      <c r="A31" s="47"/>
      <c r="B31" s="47"/>
      <c r="C31" s="47"/>
      <c r="D31" s="47"/>
      <c r="E31" s="50"/>
    </row>
    <row r="32" spans="1:5" x14ac:dyDescent="0.25">
      <c r="A32" s="47"/>
      <c r="B32" s="47"/>
      <c r="C32" s="47"/>
      <c r="D32" s="47"/>
      <c r="E32" s="50"/>
    </row>
    <row r="33" spans="1:5" x14ac:dyDescent="0.25">
      <c r="A33" s="47"/>
      <c r="B33" s="47"/>
      <c r="C33" s="47"/>
      <c r="D33" s="47"/>
      <c r="E33" s="50"/>
    </row>
    <row r="34" spans="1:5" x14ac:dyDescent="0.25">
      <c r="A34" s="47"/>
      <c r="B34" s="47"/>
      <c r="C34" s="47"/>
      <c r="D34" s="47"/>
      <c r="E34" s="50"/>
    </row>
    <row r="35" spans="1:5" x14ac:dyDescent="0.25">
      <c r="A35" s="47"/>
      <c r="B35" s="47"/>
      <c r="C35" s="47"/>
      <c r="D35" s="47"/>
      <c r="E35" s="50"/>
    </row>
    <row r="36" spans="1:5" x14ac:dyDescent="0.25">
      <c r="A36" s="47"/>
      <c r="B36" s="47"/>
      <c r="C36" s="47"/>
      <c r="D36" s="47"/>
      <c r="E36" s="50"/>
    </row>
    <row r="37" spans="1:5" x14ac:dyDescent="0.25">
      <c r="A37" s="47"/>
      <c r="B37" s="47"/>
      <c r="C37" s="47"/>
      <c r="D37" s="47"/>
      <c r="E37" s="50"/>
    </row>
    <row r="38" spans="1:5" x14ac:dyDescent="0.25">
      <c r="A38" s="47"/>
      <c r="B38" s="47"/>
      <c r="C38" s="47"/>
      <c r="D38" s="47"/>
      <c r="E38" s="50"/>
    </row>
    <row r="39" spans="1:5" x14ac:dyDescent="0.25">
      <c r="A39" s="47"/>
      <c r="B39" s="47"/>
      <c r="C39" s="47"/>
      <c r="D39" s="47"/>
      <c r="E39" s="50"/>
    </row>
    <row r="40" spans="1:5" x14ac:dyDescent="0.25">
      <c r="A40" s="47"/>
      <c r="B40" s="47"/>
      <c r="C40" s="47"/>
      <c r="D40" s="47"/>
      <c r="E40" s="50"/>
    </row>
    <row r="41" spans="1:5" x14ac:dyDescent="0.25">
      <c r="A41" s="47"/>
      <c r="B41" s="47"/>
      <c r="C41" s="47"/>
      <c r="D41" s="47"/>
      <c r="E41" s="50"/>
    </row>
    <row r="42" spans="1:5" x14ac:dyDescent="0.25">
      <c r="A42" s="47"/>
      <c r="B42" s="47"/>
      <c r="C42" s="47"/>
      <c r="D42" s="47"/>
      <c r="E42" s="50"/>
    </row>
    <row r="43" spans="1:5" x14ac:dyDescent="0.25">
      <c r="A43" s="47"/>
      <c r="B43" s="47"/>
      <c r="C43" s="47"/>
      <c r="D43" s="47"/>
      <c r="E43" s="50"/>
    </row>
    <row r="44" spans="1:5" x14ac:dyDescent="0.25">
      <c r="A44" s="47"/>
      <c r="B44" s="47"/>
      <c r="C44" s="47"/>
      <c r="D44" s="47"/>
      <c r="E44" s="50"/>
    </row>
    <row r="45" spans="1:5" x14ac:dyDescent="0.25">
      <c r="A45" s="47"/>
      <c r="B45" s="47"/>
      <c r="C45" s="47"/>
      <c r="D45" s="47"/>
      <c r="E45" s="50"/>
    </row>
    <row r="46" spans="1:5" x14ac:dyDescent="0.25">
      <c r="A46" s="47"/>
      <c r="B46" s="47"/>
      <c r="C46" s="47"/>
      <c r="D46" s="47"/>
      <c r="E46" s="50"/>
    </row>
    <row r="47" spans="1:5" x14ac:dyDescent="0.25">
      <c r="A47" s="47"/>
      <c r="B47" s="47"/>
      <c r="C47" s="47"/>
      <c r="D47" s="47"/>
      <c r="E47" s="50"/>
    </row>
    <row r="48" spans="1:5" x14ac:dyDescent="0.25">
      <c r="A48" s="47"/>
      <c r="B48" s="47"/>
      <c r="C48" s="47"/>
      <c r="D48" s="47"/>
      <c r="E48" s="50"/>
    </row>
    <row r="49" spans="1:5" x14ac:dyDescent="0.25">
      <c r="A49" s="47"/>
      <c r="B49" s="47"/>
      <c r="C49" s="47"/>
      <c r="D49" s="47"/>
      <c r="E49" s="50"/>
    </row>
    <row r="50" spans="1:5" x14ac:dyDescent="0.25">
      <c r="A50" s="47"/>
      <c r="B50" s="47"/>
      <c r="C50" s="47"/>
      <c r="D50" s="47"/>
      <c r="E50" s="50"/>
    </row>
  </sheetData>
  <hyperlinks>
    <hyperlink ref="E2" r:id="rId1"/>
  </hyperlinks>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3">
    <tabColor rgb="FFFFFF00"/>
  </sheetPr>
  <dimension ref="A1:E50"/>
  <sheetViews>
    <sheetView workbookViewId="0">
      <selection activeCell="A23" sqref="A23:B23"/>
    </sheetView>
  </sheetViews>
  <sheetFormatPr baseColWidth="10" defaultRowHeight="15" x14ac:dyDescent="0.25"/>
  <cols>
    <col min="1" max="4" width="25.85546875" customWidth="1"/>
    <col min="5" max="5" width="29.42578125" style="51" customWidth="1"/>
  </cols>
  <sheetData>
    <row r="1" spans="1:5" x14ac:dyDescent="0.25">
      <c r="A1" s="48" t="s">
        <v>463</v>
      </c>
      <c r="B1" s="48" t="s">
        <v>477</v>
      </c>
      <c r="C1" s="48" t="s">
        <v>1</v>
      </c>
      <c r="D1" s="48" t="s">
        <v>3</v>
      </c>
      <c r="E1" s="49" t="s">
        <v>478</v>
      </c>
    </row>
    <row r="2" spans="1:5" x14ac:dyDescent="0.25">
      <c r="A2" s="47" t="e">
        <f>#REF!</f>
        <v>#REF!</v>
      </c>
      <c r="B2" s="47" t="s">
        <v>71</v>
      </c>
      <c r="C2" s="47"/>
      <c r="D2" s="47"/>
      <c r="E2" s="50" t="e">
        <f>#REF!</f>
        <v>#REF!</v>
      </c>
    </row>
    <row r="3" spans="1:5" x14ac:dyDescent="0.25">
      <c r="A3" s="47"/>
      <c r="B3" s="47"/>
      <c r="C3" s="47"/>
      <c r="D3" s="47"/>
      <c r="E3" s="50"/>
    </row>
    <row r="4" spans="1:5" x14ac:dyDescent="0.25">
      <c r="A4" s="47"/>
      <c r="B4" s="47"/>
      <c r="C4" s="47"/>
      <c r="D4" s="47"/>
      <c r="E4" s="50"/>
    </row>
    <row r="5" spans="1:5" x14ac:dyDescent="0.25">
      <c r="A5" s="47"/>
      <c r="B5" s="47"/>
      <c r="C5" s="47"/>
      <c r="D5" s="47"/>
      <c r="E5" s="50"/>
    </row>
    <row r="6" spans="1:5" x14ac:dyDescent="0.25">
      <c r="A6" s="47"/>
      <c r="B6" s="47"/>
      <c r="C6" s="47"/>
      <c r="D6" s="47"/>
      <c r="E6" s="50"/>
    </row>
    <row r="7" spans="1:5" x14ac:dyDescent="0.25">
      <c r="A7" s="47"/>
      <c r="B7" s="47"/>
      <c r="C7" s="47"/>
      <c r="D7" s="47"/>
      <c r="E7" s="50"/>
    </row>
    <row r="8" spans="1:5" x14ac:dyDescent="0.25">
      <c r="A8" s="47"/>
      <c r="B8" s="47"/>
      <c r="C8" s="47"/>
      <c r="D8" s="47"/>
      <c r="E8" s="50"/>
    </row>
    <row r="9" spans="1:5" x14ac:dyDescent="0.25">
      <c r="A9" s="47"/>
      <c r="B9" s="47"/>
      <c r="C9" s="47"/>
      <c r="D9" s="47"/>
      <c r="E9" s="50"/>
    </row>
    <row r="10" spans="1:5" x14ac:dyDescent="0.25">
      <c r="A10" s="47"/>
      <c r="B10" s="47"/>
      <c r="C10" s="47"/>
      <c r="D10" s="47"/>
      <c r="E10" s="50"/>
    </row>
    <row r="11" spans="1:5" x14ac:dyDescent="0.25">
      <c r="A11" s="47"/>
      <c r="B11" s="47"/>
      <c r="C11" s="47"/>
      <c r="D11" s="47"/>
      <c r="E11" s="50"/>
    </row>
    <row r="12" spans="1:5" x14ac:dyDescent="0.25">
      <c r="A12" s="47"/>
      <c r="B12" s="47"/>
      <c r="C12" s="47"/>
      <c r="D12" s="47"/>
      <c r="E12" s="50"/>
    </row>
    <row r="13" spans="1:5" x14ac:dyDescent="0.25">
      <c r="A13" s="47"/>
      <c r="B13" s="47"/>
      <c r="C13" s="47"/>
      <c r="D13" s="47"/>
      <c r="E13" s="50"/>
    </row>
    <row r="14" spans="1:5" x14ac:dyDescent="0.25">
      <c r="A14" s="47"/>
      <c r="B14" s="47"/>
      <c r="C14" s="47"/>
      <c r="D14" s="47"/>
      <c r="E14" s="50"/>
    </row>
    <row r="15" spans="1:5" x14ac:dyDescent="0.25">
      <c r="A15" s="47"/>
      <c r="B15" s="47"/>
      <c r="C15" s="47"/>
      <c r="D15" s="47"/>
      <c r="E15" s="50"/>
    </row>
    <row r="16" spans="1:5" x14ac:dyDescent="0.25">
      <c r="A16" s="47"/>
      <c r="B16" s="47"/>
      <c r="C16" s="47"/>
      <c r="D16" s="47"/>
      <c r="E16" s="50"/>
    </row>
    <row r="17" spans="1:5" x14ac:dyDescent="0.25">
      <c r="A17" s="47"/>
      <c r="B17" s="47"/>
      <c r="C17" s="47"/>
      <c r="D17" s="47"/>
      <c r="E17" s="50"/>
    </row>
    <row r="18" spans="1:5" x14ac:dyDescent="0.25">
      <c r="A18" s="47"/>
      <c r="B18" s="47"/>
      <c r="C18" s="47"/>
      <c r="D18" s="47"/>
      <c r="E18" s="50"/>
    </row>
    <row r="19" spans="1:5" x14ac:dyDescent="0.25">
      <c r="A19" s="47"/>
      <c r="B19" s="47"/>
      <c r="C19" s="47"/>
      <c r="D19" s="47"/>
      <c r="E19" s="50"/>
    </row>
    <row r="20" spans="1:5" x14ac:dyDescent="0.25">
      <c r="A20" s="47"/>
      <c r="B20" s="47"/>
      <c r="C20" s="47"/>
      <c r="D20" s="47"/>
      <c r="E20" s="50"/>
    </row>
    <row r="21" spans="1:5" x14ac:dyDescent="0.25">
      <c r="A21" s="47"/>
      <c r="B21" s="47"/>
      <c r="C21" s="47"/>
      <c r="D21" s="47"/>
      <c r="E21" s="50"/>
    </row>
    <row r="22" spans="1:5" x14ac:dyDescent="0.25">
      <c r="A22" s="47"/>
      <c r="B22" s="47"/>
      <c r="C22" s="47"/>
      <c r="D22" s="47"/>
      <c r="E22" s="50"/>
    </row>
    <row r="23" spans="1:5" x14ac:dyDescent="0.25">
      <c r="A23" s="47"/>
      <c r="B23" s="47"/>
      <c r="C23" s="47"/>
      <c r="D23" s="47"/>
      <c r="E23" s="50"/>
    </row>
    <row r="24" spans="1:5" x14ac:dyDescent="0.25">
      <c r="A24" s="47"/>
      <c r="B24" s="47"/>
      <c r="C24" s="47"/>
      <c r="D24" s="47"/>
      <c r="E24" s="50"/>
    </row>
    <row r="25" spans="1:5" x14ac:dyDescent="0.25">
      <c r="A25" s="47"/>
      <c r="B25" s="47"/>
      <c r="C25" s="47"/>
      <c r="D25" s="47"/>
      <c r="E25" s="50"/>
    </row>
    <row r="26" spans="1:5" x14ac:dyDescent="0.25">
      <c r="A26" s="47"/>
      <c r="B26" s="47"/>
      <c r="C26" s="47"/>
      <c r="D26" s="47"/>
      <c r="E26" s="50"/>
    </row>
    <row r="27" spans="1:5" x14ac:dyDescent="0.25">
      <c r="A27" s="47"/>
      <c r="B27" s="47"/>
      <c r="C27" s="47"/>
      <c r="D27" s="47"/>
      <c r="E27" s="50"/>
    </row>
    <row r="28" spans="1:5" x14ac:dyDescent="0.25">
      <c r="A28" s="47"/>
      <c r="B28" s="47"/>
      <c r="C28" s="47"/>
      <c r="D28" s="47"/>
      <c r="E28" s="50"/>
    </row>
    <row r="29" spans="1:5" x14ac:dyDescent="0.25">
      <c r="A29" s="47"/>
      <c r="B29" s="47"/>
      <c r="C29" s="47"/>
      <c r="D29" s="47"/>
      <c r="E29" s="50"/>
    </row>
    <row r="30" spans="1:5" x14ac:dyDescent="0.25">
      <c r="A30" s="47"/>
      <c r="B30" s="47"/>
      <c r="C30" s="47"/>
      <c r="D30" s="47"/>
      <c r="E30" s="50"/>
    </row>
    <row r="31" spans="1:5" x14ac:dyDescent="0.25">
      <c r="A31" s="47"/>
      <c r="B31" s="47"/>
      <c r="C31" s="47"/>
      <c r="D31" s="47"/>
      <c r="E31" s="50"/>
    </row>
    <row r="32" spans="1:5" x14ac:dyDescent="0.25">
      <c r="A32" s="47"/>
      <c r="B32" s="47"/>
      <c r="C32" s="47"/>
      <c r="D32" s="47"/>
      <c r="E32" s="50"/>
    </row>
    <row r="33" spans="1:5" x14ac:dyDescent="0.25">
      <c r="A33" s="47"/>
      <c r="B33" s="47"/>
      <c r="C33" s="47"/>
      <c r="D33" s="47"/>
      <c r="E33" s="50"/>
    </row>
    <row r="34" spans="1:5" x14ac:dyDescent="0.25">
      <c r="A34" s="47"/>
      <c r="B34" s="47"/>
      <c r="C34" s="47"/>
      <c r="D34" s="47"/>
      <c r="E34" s="50"/>
    </row>
    <row r="35" spans="1:5" x14ac:dyDescent="0.25">
      <c r="A35" s="47"/>
      <c r="B35" s="47"/>
      <c r="C35" s="47"/>
      <c r="D35" s="47"/>
      <c r="E35" s="50"/>
    </row>
    <row r="36" spans="1:5" x14ac:dyDescent="0.25">
      <c r="A36" s="47"/>
      <c r="B36" s="47"/>
      <c r="C36" s="47"/>
      <c r="D36" s="47"/>
      <c r="E36" s="50"/>
    </row>
    <row r="37" spans="1:5" x14ac:dyDescent="0.25">
      <c r="A37" s="47"/>
      <c r="B37" s="47"/>
      <c r="C37" s="47"/>
      <c r="D37" s="47"/>
      <c r="E37" s="50"/>
    </row>
    <row r="38" spans="1:5" x14ac:dyDescent="0.25">
      <c r="A38" s="47"/>
      <c r="B38" s="47"/>
      <c r="C38" s="47"/>
      <c r="D38" s="47"/>
      <c r="E38" s="50"/>
    </row>
    <row r="39" spans="1:5" x14ac:dyDescent="0.25">
      <c r="A39" s="47"/>
      <c r="B39" s="47"/>
      <c r="C39" s="47"/>
      <c r="D39" s="47"/>
      <c r="E39" s="50"/>
    </row>
    <row r="40" spans="1:5" x14ac:dyDescent="0.25">
      <c r="A40" s="47"/>
      <c r="B40" s="47"/>
      <c r="C40" s="47"/>
      <c r="D40" s="47"/>
      <c r="E40" s="50"/>
    </row>
    <row r="41" spans="1:5" x14ac:dyDescent="0.25">
      <c r="A41" s="47"/>
      <c r="B41" s="47"/>
      <c r="C41" s="47"/>
      <c r="D41" s="47"/>
      <c r="E41" s="50"/>
    </row>
    <row r="42" spans="1:5" x14ac:dyDescent="0.25">
      <c r="A42" s="47"/>
      <c r="B42" s="47"/>
      <c r="C42" s="47"/>
      <c r="D42" s="47"/>
      <c r="E42" s="50"/>
    </row>
    <row r="43" spans="1:5" x14ac:dyDescent="0.25">
      <c r="A43" s="47"/>
      <c r="B43" s="47"/>
      <c r="C43" s="47"/>
      <c r="D43" s="47"/>
      <c r="E43" s="50"/>
    </row>
    <row r="44" spans="1:5" x14ac:dyDescent="0.25">
      <c r="A44" s="47"/>
      <c r="B44" s="47"/>
      <c r="C44" s="47"/>
      <c r="D44" s="47"/>
      <c r="E44" s="50"/>
    </row>
    <row r="45" spans="1:5" x14ac:dyDescent="0.25">
      <c r="A45" s="47"/>
      <c r="B45" s="47"/>
      <c r="C45" s="47"/>
      <c r="D45" s="47"/>
      <c r="E45" s="50"/>
    </row>
    <row r="46" spans="1:5" x14ac:dyDescent="0.25">
      <c r="A46" s="47"/>
      <c r="B46" s="47"/>
      <c r="C46" s="47"/>
      <c r="D46" s="47"/>
      <c r="E46" s="50"/>
    </row>
    <row r="47" spans="1:5" x14ac:dyDescent="0.25">
      <c r="A47" s="47"/>
      <c r="B47" s="47"/>
      <c r="C47" s="47"/>
      <c r="D47" s="47"/>
      <c r="E47" s="50"/>
    </row>
    <row r="48" spans="1:5" x14ac:dyDescent="0.25">
      <c r="A48" s="47"/>
      <c r="B48" s="47"/>
      <c r="C48" s="47"/>
      <c r="D48" s="47"/>
      <c r="E48" s="50"/>
    </row>
    <row r="49" spans="1:5" x14ac:dyDescent="0.25">
      <c r="A49" s="47"/>
      <c r="B49" s="47"/>
      <c r="C49" s="47"/>
      <c r="D49" s="47"/>
      <c r="E49" s="50"/>
    </row>
    <row r="50" spans="1:5" x14ac:dyDescent="0.25">
      <c r="A50" s="47"/>
      <c r="B50" s="47"/>
      <c r="C50" s="47"/>
      <c r="D50" s="47"/>
      <c r="E50" s="50"/>
    </row>
  </sheetData>
  <pageMargins left="0.7" right="0.7" top="0.75" bottom="0.75" header="0.3" footer="0.3"/>
  <pageSetup paperSize="9" orientation="portrait" horizontalDpi="0" verticalDpi="0"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4">
    <tabColor rgb="FFFFFF00"/>
  </sheetPr>
  <dimension ref="A1:D50"/>
  <sheetViews>
    <sheetView workbookViewId="0">
      <selection activeCell="A23" sqref="A23:B23"/>
    </sheetView>
  </sheetViews>
  <sheetFormatPr baseColWidth="10" defaultRowHeight="15" x14ac:dyDescent="0.25"/>
  <cols>
    <col min="1" max="1" width="34.85546875" customWidth="1"/>
    <col min="2" max="2" width="15.42578125" customWidth="1"/>
    <col min="3" max="3" width="17.7109375" customWidth="1"/>
    <col min="4" max="4" width="17" customWidth="1"/>
  </cols>
  <sheetData>
    <row r="1" spans="1:4" x14ac:dyDescent="0.25">
      <c r="A1" s="48" t="s">
        <v>463</v>
      </c>
      <c r="B1" s="48" t="s">
        <v>6</v>
      </c>
      <c r="C1" s="48" t="s">
        <v>464</v>
      </c>
      <c r="D1" s="48" t="s">
        <v>465</v>
      </c>
    </row>
    <row r="2" spans="1:4" x14ac:dyDescent="0.25">
      <c r="A2" s="47" t="e">
        <f>#REF!</f>
        <v>#REF!</v>
      </c>
      <c r="B2" s="47" t="e">
        <f>#REF!</f>
        <v>#REF!</v>
      </c>
      <c r="C2" s="47" t="e">
        <f>#REF!</f>
        <v>#REF!</v>
      </c>
      <c r="D2" s="47" t="e">
        <f>#REF!</f>
        <v>#REF!</v>
      </c>
    </row>
    <row r="3" spans="1:4" x14ac:dyDescent="0.25">
      <c r="A3" s="47"/>
      <c r="B3" s="47"/>
      <c r="C3" s="47"/>
      <c r="D3" s="47"/>
    </row>
    <row r="4" spans="1:4" x14ac:dyDescent="0.25">
      <c r="A4" s="47"/>
      <c r="B4" s="47"/>
      <c r="C4" s="47"/>
      <c r="D4" s="47"/>
    </row>
    <row r="5" spans="1:4" x14ac:dyDescent="0.25">
      <c r="A5" s="47"/>
      <c r="B5" s="47"/>
      <c r="C5" s="47"/>
      <c r="D5" s="47"/>
    </row>
    <row r="6" spans="1:4" x14ac:dyDescent="0.25">
      <c r="A6" s="47"/>
      <c r="B6" s="47"/>
      <c r="C6" s="47"/>
      <c r="D6" s="47"/>
    </row>
    <row r="7" spans="1:4" x14ac:dyDescent="0.25">
      <c r="A7" s="47"/>
      <c r="B7" s="47"/>
      <c r="C7" s="47"/>
      <c r="D7" s="47"/>
    </row>
    <row r="8" spans="1:4" x14ac:dyDescent="0.25">
      <c r="A8" s="47"/>
      <c r="B8" s="47"/>
      <c r="C8" s="47"/>
      <c r="D8" s="47"/>
    </row>
    <row r="9" spans="1:4" x14ac:dyDescent="0.25">
      <c r="A9" s="47"/>
      <c r="B9" s="47"/>
      <c r="C9" s="47"/>
      <c r="D9" s="47"/>
    </row>
    <row r="10" spans="1:4" x14ac:dyDescent="0.25">
      <c r="A10" s="47"/>
      <c r="B10" s="47"/>
      <c r="C10" s="47"/>
      <c r="D10" s="47"/>
    </row>
    <row r="11" spans="1:4" x14ac:dyDescent="0.25">
      <c r="A11" s="47"/>
      <c r="B11" s="47"/>
      <c r="C11" s="47"/>
      <c r="D11" s="47"/>
    </row>
    <row r="12" spans="1:4" x14ac:dyDescent="0.25">
      <c r="A12" s="47"/>
      <c r="B12" s="47"/>
      <c r="C12" s="47"/>
      <c r="D12" s="47"/>
    </row>
    <row r="13" spans="1:4" x14ac:dyDescent="0.25">
      <c r="A13" s="47"/>
      <c r="B13" s="47"/>
      <c r="C13" s="47"/>
      <c r="D13" s="47"/>
    </row>
    <row r="14" spans="1:4" x14ac:dyDescent="0.25">
      <c r="A14" s="47"/>
      <c r="B14" s="47"/>
      <c r="C14" s="47"/>
      <c r="D14" s="47"/>
    </row>
    <row r="15" spans="1:4" x14ac:dyDescent="0.25">
      <c r="A15" s="47"/>
      <c r="B15" s="47"/>
      <c r="C15" s="47"/>
      <c r="D15" s="47"/>
    </row>
    <row r="16" spans="1:4" x14ac:dyDescent="0.25">
      <c r="A16" s="47"/>
      <c r="B16" s="47"/>
      <c r="C16" s="47"/>
      <c r="D16" s="47"/>
    </row>
    <row r="17" spans="1:4" x14ac:dyDescent="0.25">
      <c r="A17" s="47"/>
      <c r="B17" s="47"/>
      <c r="C17" s="47"/>
      <c r="D17" s="47"/>
    </row>
    <row r="18" spans="1:4" x14ac:dyDescent="0.25">
      <c r="A18" s="47"/>
      <c r="B18" s="47"/>
      <c r="C18" s="47"/>
      <c r="D18" s="47"/>
    </row>
    <row r="19" spans="1:4" x14ac:dyDescent="0.25">
      <c r="A19" s="47"/>
      <c r="B19" s="47"/>
      <c r="C19" s="47"/>
      <c r="D19" s="47"/>
    </row>
    <row r="20" spans="1:4" x14ac:dyDescent="0.25">
      <c r="A20" s="47"/>
      <c r="B20" s="47"/>
      <c r="C20" s="47"/>
      <c r="D20" s="47"/>
    </row>
    <row r="21" spans="1:4" x14ac:dyDescent="0.25">
      <c r="A21" s="47"/>
      <c r="B21" s="47"/>
      <c r="C21" s="47"/>
      <c r="D21" s="47"/>
    </row>
    <row r="22" spans="1:4" x14ac:dyDescent="0.25">
      <c r="A22" s="47"/>
      <c r="B22" s="47"/>
      <c r="C22" s="47"/>
      <c r="D22" s="47"/>
    </row>
    <row r="23" spans="1:4" x14ac:dyDescent="0.25">
      <c r="A23" s="47"/>
      <c r="B23" s="47"/>
      <c r="C23" s="47"/>
      <c r="D23" s="47"/>
    </row>
    <row r="24" spans="1:4" x14ac:dyDescent="0.25">
      <c r="A24" s="47"/>
      <c r="B24" s="47"/>
      <c r="C24" s="47"/>
      <c r="D24" s="47"/>
    </row>
    <row r="25" spans="1:4" x14ac:dyDescent="0.25">
      <c r="A25" s="47"/>
      <c r="B25" s="47"/>
      <c r="C25" s="47"/>
      <c r="D25" s="47"/>
    </row>
    <row r="26" spans="1:4" x14ac:dyDescent="0.25">
      <c r="A26" s="47"/>
      <c r="B26" s="47"/>
      <c r="C26" s="47"/>
      <c r="D26" s="47"/>
    </row>
    <row r="27" spans="1:4" x14ac:dyDescent="0.25">
      <c r="A27" s="47"/>
      <c r="B27" s="47"/>
      <c r="C27" s="47"/>
      <c r="D27" s="47"/>
    </row>
    <row r="28" spans="1:4" x14ac:dyDescent="0.25">
      <c r="A28" s="47"/>
      <c r="B28" s="47"/>
      <c r="C28" s="47"/>
      <c r="D28" s="47"/>
    </row>
    <row r="29" spans="1:4" x14ac:dyDescent="0.25">
      <c r="A29" s="47"/>
      <c r="B29" s="47"/>
      <c r="C29" s="47"/>
      <c r="D29" s="47"/>
    </row>
    <row r="30" spans="1:4" x14ac:dyDescent="0.25">
      <c r="A30" s="47"/>
      <c r="B30" s="47"/>
      <c r="C30" s="47"/>
      <c r="D30" s="47"/>
    </row>
    <row r="31" spans="1:4" x14ac:dyDescent="0.25">
      <c r="A31" s="47"/>
      <c r="B31" s="47"/>
      <c r="C31" s="47"/>
      <c r="D31" s="47"/>
    </row>
    <row r="32" spans="1:4" x14ac:dyDescent="0.25">
      <c r="A32" s="47"/>
      <c r="B32" s="47"/>
      <c r="C32" s="47"/>
      <c r="D32" s="47"/>
    </row>
    <row r="33" spans="1:4" x14ac:dyDescent="0.25">
      <c r="A33" s="47"/>
      <c r="B33" s="47"/>
      <c r="C33" s="47"/>
      <c r="D33" s="47"/>
    </row>
    <row r="34" spans="1:4" x14ac:dyDescent="0.25">
      <c r="A34" s="47"/>
      <c r="B34" s="47"/>
      <c r="C34" s="47"/>
      <c r="D34" s="47"/>
    </row>
    <row r="35" spans="1:4" x14ac:dyDescent="0.25">
      <c r="A35" s="47"/>
      <c r="B35" s="47"/>
      <c r="C35" s="47"/>
      <c r="D35" s="47"/>
    </row>
    <row r="36" spans="1:4" x14ac:dyDescent="0.25">
      <c r="A36" s="47"/>
      <c r="B36" s="47"/>
      <c r="C36" s="47"/>
      <c r="D36" s="47"/>
    </row>
    <row r="37" spans="1:4" x14ac:dyDescent="0.25">
      <c r="A37" s="47"/>
      <c r="B37" s="47"/>
      <c r="C37" s="47"/>
      <c r="D37" s="47"/>
    </row>
    <row r="38" spans="1:4" x14ac:dyDescent="0.25">
      <c r="A38" s="47"/>
      <c r="B38" s="47"/>
      <c r="C38" s="47"/>
      <c r="D38" s="47"/>
    </row>
    <row r="39" spans="1:4" x14ac:dyDescent="0.25">
      <c r="A39" s="47"/>
      <c r="B39" s="47"/>
      <c r="C39" s="47"/>
      <c r="D39" s="47"/>
    </row>
    <row r="40" spans="1:4" x14ac:dyDescent="0.25">
      <c r="A40" s="47"/>
      <c r="B40" s="47"/>
      <c r="C40" s="47"/>
      <c r="D40" s="47"/>
    </row>
    <row r="41" spans="1:4" x14ac:dyDescent="0.25">
      <c r="A41" s="47"/>
      <c r="B41" s="47"/>
      <c r="C41" s="47"/>
      <c r="D41" s="47"/>
    </row>
    <row r="42" spans="1:4" x14ac:dyDescent="0.25">
      <c r="A42" s="47"/>
      <c r="B42" s="47"/>
      <c r="C42" s="47"/>
      <c r="D42" s="47"/>
    </row>
    <row r="43" spans="1:4" x14ac:dyDescent="0.25">
      <c r="A43" s="47"/>
      <c r="B43" s="47"/>
      <c r="C43" s="47"/>
      <c r="D43" s="47"/>
    </row>
    <row r="44" spans="1:4" x14ac:dyDescent="0.25">
      <c r="A44" s="47"/>
      <c r="B44" s="47"/>
      <c r="C44" s="47"/>
      <c r="D44" s="47"/>
    </row>
    <row r="45" spans="1:4" x14ac:dyDescent="0.25">
      <c r="A45" s="47"/>
      <c r="B45" s="47"/>
      <c r="C45" s="47"/>
      <c r="D45" s="47"/>
    </row>
    <row r="46" spans="1:4" x14ac:dyDescent="0.25">
      <c r="A46" s="47"/>
      <c r="B46" s="47"/>
      <c r="C46" s="47"/>
      <c r="D46" s="47"/>
    </row>
    <row r="47" spans="1:4" x14ac:dyDescent="0.25">
      <c r="A47" s="47"/>
      <c r="B47" s="47"/>
      <c r="C47" s="47"/>
      <c r="D47" s="47"/>
    </row>
    <row r="48" spans="1:4" x14ac:dyDescent="0.25">
      <c r="A48" s="47"/>
      <c r="B48" s="47"/>
      <c r="C48" s="47"/>
      <c r="D48" s="47"/>
    </row>
    <row r="49" spans="1:4" x14ac:dyDescent="0.25">
      <c r="A49" s="47"/>
      <c r="B49" s="47"/>
      <c r="C49" s="47"/>
      <c r="D49" s="47"/>
    </row>
    <row r="50" spans="1:4" x14ac:dyDescent="0.25">
      <c r="A50" s="47"/>
      <c r="B50" s="47"/>
      <c r="C50" s="47"/>
      <c r="D50" s="47"/>
    </row>
  </sheetData>
  <pageMargins left="0.7" right="0.7" top="0.75" bottom="0.75" header="0.3" footer="0.3"/>
  <pageSetup paperSize="9" orientation="portrait" horizontalDpi="0" verticalDpi="0"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5">
    <tabColor rgb="FFFFFF00"/>
  </sheetPr>
  <dimension ref="A1:J50"/>
  <sheetViews>
    <sheetView workbookViewId="0">
      <selection activeCell="A23" sqref="A23:B23"/>
    </sheetView>
  </sheetViews>
  <sheetFormatPr baseColWidth="10" defaultRowHeight="15" x14ac:dyDescent="0.25"/>
  <cols>
    <col min="1" max="1" width="34.85546875" style="1" customWidth="1"/>
    <col min="2" max="2" width="15.42578125" style="1" customWidth="1"/>
    <col min="3" max="3" width="17.7109375" style="1" customWidth="1"/>
    <col min="4" max="4" width="17" style="1" customWidth="1"/>
    <col min="5" max="5" width="2.85546875" style="58" customWidth="1"/>
    <col min="6" max="6" width="14.28515625" style="1" bestFit="1" customWidth="1"/>
    <col min="7" max="7" width="19.5703125" style="62" bestFit="1" customWidth="1"/>
    <col min="8" max="9" width="11.28515625" style="1" customWidth="1"/>
    <col min="10" max="10" width="8.5703125" style="1" bestFit="1" customWidth="1"/>
    <col min="11" max="16384" width="11.42578125" style="1"/>
  </cols>
  <sheetData>
    <row r="1" spans="1:10" x14ac:dyDescent="0.25">
      <c r="A1" s="52" t="s">
        <v>463</v>
      </c>
      <c r="B1" s="52" t="s">
        <v>466</v>
      </c>
      <c r="C1" s="52" t="s">
        <v>467</v>
      </c>
      <c r="D1" s="52" t="s">
        <v>11</v>
      </c>
      <c r="G1" s="54" t="s">
        <v>470</v>
      </c>
      <c r="H1" s="167" t="s">
        <v>472</v>
      </c>
      <c r="I1" s="167"/>
      <c r="J1" s="167" t="s">
        <v>473</v>
      </c>
    </row>
    <row r="2" spans="1:10" x14ac:dyDescent="0.25">
      <c r="A2" s="53" t="e">
        <f>#REF!</f>
        <v>#REF!</v>
      </c>
      <c r="B2" s="53" t="e">
        <f>#REF!</f>
        <v>#REF!</v>
      </c>
      <c r="C2" s="53" t="e">
        <f>#REF!</f>
        <v>#REF!</v>
      </c>
      <c r="D2" s="53" t="e">
        <f>#REF!</f>
        <v>#REF!</v>
      </c>
      <c r="E2" s="58" t="e">
        <f>IF(A2&gt;0,1,0)</f>
        <v>#REF!</v>
      </c>
      <c r="G2" s="54"/>
      <c r="H2" s="54" t="s">
        <v>474</v>
      </c>
      <c r="I2" s="54" t="s">
        <v>11</v>
      </c>
      <c r="J2" s="167"/>
    </row>
    <row r="3" spans="1:10" x14ac:dyDescent="0.25">
      <c r="A3" s="53"/>
      <c r="B3" s="53"/>
      <c r="C3" s="53"/>
      <c r="D3" s="53"/>
      <c r="E3" s="58">
        <f t="shared" ref="E3:E49" si="0">IF(A3&gt;0,1,0)</f>
        <v>0</v>
      </c>
      <c r="F3" s="52" t="s">
        <v>471</v>
      </c>
      <c r="G3" s="55">
        <v>55000</v>
      </c>
      <c r="H3" s="45" t="e">
        <f>B50</f>
        <v>#REF!</v>
      </c>
      <c r="I3" s="45" t="e">
        <f>H5</f>
        <v>#REF!</v>
      </c>
      <c r="J3" s="46" t="e">
        <f>G3-H3</f>
        <v>#REF!</v>
      </c>
    </row>
    <row r="4" spans="1:10" x14ac:dyDescent="0.25">
      <c r="A4" s="53"/>
      <c r="B4" s="53"/>
      <c r="C4" s="53"/>
      <c r="D4" s="53"/>
      <c r="E4" s="58">
        <f t="shared" si="0"/>
        <v>0</v>
      </c>
      <c r="F4" s="52" t="s">
        <v>467</v>
      </c>
      <c r="G4" s="55">
        <v>1000</v>
      </c>
      <c r="H4" s="144" t="e">
        <f>C50</f>
        <v>#REF!</v>
      </c>
      <c r="I4" s="144"/>
      <c r="J4" s="46" t="e">
        <f>G4-H4</f>
        <v>#REF!</v>
      </c>
    </row>
    <row r="5" spans="1:10" x14ac:dyDescent="0.25">
      <c r="A5" s="53"/>
      <c r="B5" s="53"/>
      <c r="C5" s="53"/>
      <c r="D5" s="53"/>
      <c r="E5" s="58">
        <f t="shared" si="0"/>
        <v>0</v>
      </c>
      <c r="F5" s="52" t="s">
        <v>11</v>
      </c>
      <c r="G5" s="55">
        <v>35000</v>
      </c>
      <c r="H5" s="144" t="e">
        <f>D50</f>
        <v>#REF!</v>
      </c>
      <c r="I5" s="144"/>
      <c r="J5" s="46" t="e">
        <f>G5-H5</f>
        <v>#REF!</v>
      </c>
    </row>
    <row r="6" spans="1:10" x14ac:dyDescent="0.25">
      <c r="A6" s="53"/>
      <c r="B6" s="53"/>
      <c r="C6" s="53"/>
      <c r="D6" s="53"/>
      <c r="E6" s="58">
        <f t="shared" si="0"/>
        <v>0</v>
      </c>
    </row>
    <row r="7" spans="1:10" x14ac:dyDescent="0.25">
      <c r="A7" s="53"/>
      <c r="B7" s="53"/>
      <c r="C7" s="53"/>
      <c r="D7" s="53"/>
      <c r="E7" s="58">
        <f t="shared" si="0"/>
        <v>0</v>
      </c>
      <c r="G7" s="54" t="s">
        <v>475</v>
      </c>
      <c r="H7" s="167" t="s">
        <v>476</v>
      </c>
      <c r="I7" s="167"/>
    </row>
    <row r="8" spans="1:10" x14ac:dyDescent="0.25">
      <c r="A8" s="53"/>
      <c r="B8" s="53"/>
      <c r="C8" s="53"/>
      <c r="D8" s="53"/>
      <c r="E8" s="58">
        <f t="shared" si="0"/>
        <v>0</v>
      </c>
      <c r="F8" s="56" t="s">
        <v>471</v>
      </c>
      <c r="G8" s="57" t="e">
        <f>(H3+I3)/E50</f>
        <v>#REF!</v>
      </c>
      <c r="H8" s="166" t="e">
        <f>G8/G3</f>
        <v>#REF!</v>
      </c>
      <c r="I8" s="166"/>
    </row>
    <row r="9" spans="1:10" x14ac:dyDescent="0.25">
      <c r="A9" s="53"/>
      <c r="B9" s="53"/>
      <c r="C9" s="53"/>
      <c r="D9" s="53"/>
      <c r="E9" s="58">
        <f t="shared" si="0"/>
        <v>0</v>
      </c>
      <c r="F9" s="56" t="s">
        <v>467</v>
      </c>
      <c r="G9" s="57" t="e">
        <f>H4/E50</f>
        <v>#REF!</v>
      </c>
      <c r="H9" s="166" t="e">
        <f t="shared" ref="H9:H10" si="1">G9/G4</f>
        <v>#REF!</v>
      </c>
      <c r="I9" s="166"/>
    </row>
    <row r="10" spans="1:10" x14ac:dyDescent="0.25">
      <c r="A10" s="53"/>
      <c r="B10" s="53"/>
      <c r="C10" s="53"/>
      <c r="D10" s="53"/>
      <c r="E10" s="58">
        <f t="shared" si="0"/>
        <v>0</v>
      </c>
      <c r="F10" s="56" t="s">
        <v>11</v>
      </c>
      <c r="G10" s="57" t="e">
        <f>H5/E50</f>
        <v>#REF!</v>
      </c>
      <c r="H10" s="166" t="e">
        <f t="shared" si="1"/>
        <v>#REF!</v>
      </c>
      <c r="I10" s="166"/>
    </row>
    <row r="11" spans="1:10" x14ac:dyDescent="0.25">
      <c r="A11" s="53"/>
      <c r="B11" s="53"/>
      <c r="C11" s="53"/>
      <c r="D11" s="53"/>
      <c r="E11" s="58">
        <f t="shared" si="0"/>
        <v>0</v>
      </c>
    </row>
    <row r="12" spans="1:10" x14ac:dyDescent="0.25">
      <c r="A12" s="53"/>
      <c r="B12" s="53"/>
      <c r="C12" s="53"/>
      <c r="D12" s="53"/>
      <c r="E12" s="58">
        <f t="shared" si="0"/>
        <v>0</v>
      </c>
    </row>
    <row r="13" spans="1:10" x14ac:dyDescent="0.25">
      <c r="A13" s="53"/>
      <c r="B13" s="53"/>
      <c r="C13" s="53"/>
      <c r="D13" s="53"/>
      <c r="E13" s="58">
        <f t="shared" si="0"/>
        <v>0</v>
      </c>
      <c r="G13" s="63"/>
    </row>
    <row r="14" spans="1:10" x14ac:dyDescent="0.25">
      <c r="A14" s="53"/>
      <c r="B14" s="53"/>
      <c r="C14" s="53"/>
      <c r="D14" s="53"/>
      <c r="E14" s="58">
        <f t="shared" si="0"/>
        <v>0</v>
      </c>
    </row>
    <row r="15" spans="1:10" x14ac:dyDescent="0.25">
      <c r="A15" s="53"/>
      <c r="B15" s="53"/>
      <c r="C15" s="53"/>
      <c r="D15" s="53"/>
      <c r="E15" s="58">
        <f t="shared" si="0"/>
        <v>0</v>
      </c>
    </row>
    <row r="16" spans="1:10" x14ac:dyDescent="0.25">
      <c r="A16" s="53"/>
      <c r="B16" s="53"/>
      <c r="C16" s="53"/>
      <c r="D16" s="53"/>
      <c r="E16" s="58">
        <f t="shared" si="0"/>
        <v>0</v>
      </c>
    </row>
    <row r="17" spans="1:5" x14ac:dyDescent="0.25">
      <c r="A17" s="53"/>
      <c r="B17" s="53"/>
      <c r="C17" s="53"/>
      <c r="D17" s="53"/>
      <c r="E17" s="58">
        <f t="shared" si="0"/>
        <v>0</v>
      </c>
    </row>
    <row r="18" spans="1:5" x14ac:dyDescent="0.25">
      <c r="A18" s="53"/>
      <c r="B18" s="53"/>
      <c r="C18" s="53"/>
      <c r="D18" s="53"/>
      <c r="E18" s="58">
        <f t="shared" si="0"/>
        <v>0</v>
      </c>
    </row>
    <row r="19" spans="1:5" x14ac:dyDescent="0.25">
      <c r="A19" s="53"/>
      <c r="B19" s="53"/>
      <c r="C19" s="53"/>
      <c r="D19" s="53"/>
      <c r="E19" s="58">
        <f t="shared" si="0"/>
        <v>0</v>
      </c>
    </row>
    <row r="20" spans="1:5" x14ac:dyDescent="0.25">
      <c r="A20" s="53"/>
      <c r="B20" s="53"/>
      <c r="C20" s="53"/>
      <c r="D20" s="53"/>
      <c r="E20" s="58">
        <f t="shared" si="0"/>
        <v>0</v>
      </c>
    </row>
    <row r="21" spans="1:5" x14ac:dyDescent="0.25">
      <c r="A21" s="53"/>
      <c r="B21" s="53"/>
      <c r="C21" s="53"/>
      <c r="D21" s="53"/>
      <c r="E21" s="58">
        <f t="shared" si="0"/>
        <v>0</v>
      </c>
    </row>
    <row r="22" spans="1:5" x14ac:dyDescent="0.25">
      <c r="A22" s="53"/>
      <c r="B22" s="53"/>
      <c r="C22" s="53"/>
      <c r="D22" s="53"/>
      <c r="E22" s="58">
        <f t="shared" si="0"/>
        <v>0</v>
      </c>
    </row>
    <row r="23" spans="1:5" x14ac:dyDescent="0.25">
      <c r="A23" s="53"/>
      <c r="B23" s="53"/>
      <c r="C23" s="53"/>
      <c r="D23" s="53"/>
      <c r="E23" s="58">
        <f t="shared" si="0"/>
        <v>0</v>
      </c>
    </row>
    <row r="24" spans="1:5" x14ac:dyDescent="0.25">
      <c r="A24" s="53"/>
      <c r="B24" s="53"/>
      <c r="C24" s="53"/>
      <c r="D24" s="53"/>
      <c r="E24" s="58">
        <f t="shared" si="0"/>
        <v>0</v>
      </c>
    </row>
    <row r="25" spans="1:5" x14ac:dyDescent="0.25">
      <c r="A25" s="53"/>
      <c r="B25" s="53"/>
      <c r="C25" s="53"/>
      <c r="D25" s="53"/>
      <c r="E25" s="58">
        <f t="shared" si="0"/>
        <v>0</v>
      </c>
    </row>
    <row r="26" spans="1:5" x14ac:dyDescent="0.25">
      <c r="A26" s="53"/>
      <c r="B26" s="53"/>
      <c r="C26" s="53"/>
      <c r="D26" s="53"/>
      <c r="E26" s="58">
        <f t="shared" si="0"/>
        <v>0</v>
      </c>
    </row>
    <row r="27" spans="1:5" x14ac:dyDescent="0.25">
      <c r="A27" s="53"/>
      <c r="B27" s="53"/>
      <c r="C27" s="53"/>
      <c r="D27" s="53"/>
      <c r="E27" s="58">
        <f t="shared" si="0"/>
        <v>0</v>
      </c>
    </row>
    <row r="28" spans="1:5" x14ac:dyDescent="0.25">
      <c r="A28" s="53"/>
      <c r="B28" s="53"/>
      <c r="C28" s="53"/>
      <c r="D28" s="53"/>
      <c r="E28" s="58">
        <f t="shared" si="0"/>
        <v>0</v>
      </c>
    </row>
    <row r="29" spans="1:5" x14ac:dyDescent="0.25">
      <c r="A29" s="53"/>
      <c r="B29" s="53"/>
      <c r="C29" s="53"/>
      <c r="D29" s="53"/>
      <c r="E29" s="58">
        <f t="shared" si="0"/>
        <v>0</v>
      </c>
    </row>
    <row r="30" spans="1:5" x14ac:dyDescent="0.25">
      <c r="A30" s="53"/>
      <c r="B30" s="53"/>
      <c r="C30" s="53"/>
      <c r="D30" s="53"/>
      <c r="E30" s="58">
        <f t="shared" si="0"/>
        <v>0</v>
      </c>
    </row>
    <row r="31" spans="1:5" x14ac:dyDescent="0.25">
      <c r="A31" s="53"/>
      <c r="B31" s="53"/>
      <c r="C31" s="53"/>
      <c r="D31" s="53"/>
      <c r="E31" s="58">
        <f t="shared" si="0"/>
        <v>0</v>
      </c>
    </row>
    <row r="32" spans="1:5" x14ac:dyDescent="0.25">
      <c r="A32" s="53"/>
      <c r="B32" s="53"/>
      <c r="C32" s="53"/>
      <c r="D32" s="53"/>
      <c r="E32" s="58">
        <f t="shared" si="0"/>
        <v>0</v>
      </c>
    </row>
    <row r="33" spans="1:5" x14ac:dyDescent="0.25">
      <c r="A33" s="53"/>
      <c r="B33" s="53"/>
      <c r="C33" s="53"/>
      <c r="D33" s="53"/>
      <c r="E33" s="58">
        <f t="shared" si="0"/>
        <v>0</v>
      </c>
    </row>
    <row r="34" spans="1:5" x14ac:dyDescent="0.25">
      <c r="A34" s="53"/>
      <c r="B34" s="53"/>
      <c r="C34" s="53"/>
      <c r="D34" s="53"/>
      <c r="E34" s="58">
        <f t="shared" si="0"/>
        <v>0</v>
      </c>
    </row>
    <row r="35" spans="1:5" x14ac:dyDescent="0.25">
      <c r="A35" s="53"/>
      <c r="B35" s="53"/>
      <c r="C35" s="53"/>
      <c r="D35" s="53"/>
      <c r="E35" s="58">
        <f t="shared" si="0"/>
        <v>0</v>
      </c>
    </row>
    <row r="36" spans="1:5" x14ac:dyDescent="0.25">
      <c r="A36" s="53"/>
      <c r="B36" s="53"/>
      <c r="C36" s="53"/>
      <c r="D36" s="53"/>
      <c r="E36" s="58">
        <f t="shared" si="0"/>
        <v>0</v>
      </c>
    </row>
    <row r="37" spans="1:5" x14ac:dyDescent="0.25">
      <c r="A37" s="53"/>
      <c r="B37" s="53"/>
      <c r="C37" s="53"/>
      <c r="D37" s="53"/>
      <c r="E37" s="58">
        <f t="shared" si="0"/>
        <v>0</v>
      </c>
    </row>
    <row r="38" spans="1:5" x14ac:dyDescent="0.25">
      <c r="A38" s="53"/>
      <c r="B38" s="53"/>
      <c r="C38" s="53"/>
      <c r="D38" s="53"/>
      <c r="E38" s="58">
        <f t="shared" si="0"/>
        <v>0</v>
      </c>
    </row>
    <row r="39" spans="1:5" x14ac:dyDescent="0.25">
      <c r="A39" s="53"/>
      <c r="B39" s="53"/>
      <c r="C39" s="53"/>
      <c r="D39" s="53"/>
      <c r="E39" s="58">
        <f t="shared" si="0"/>
        <v>0</v>
      </c>
    </row>
    <row r="40" spans="1:5" x14ac:dyDescent="0.25">
      <c r="A40" s="53"/>
      <c r="B40" s="53"/>
      <c r="C40" s="53"/>
      <c r="D40" s="53"/>
      <c r="E40" s="58">
        <f t="shared" si="0"/>
        <v>0</v>
      </c>
    </row>
    <row r="41" spans="1:5" x14ac:dyDescent="0.25">
      <c r="A41" s="53"/>
      <c r="B41" s="53"/>
      <c r="C41" s="53"/>
      <c r="D41" s="53"/>
      <c r="E41" s="58">
        <f t="shared" si="0"/>
        <v>0</v>
      </c>
    </row>
    <row r="42" spans="1:5" x14ac:dyDescent="0.25">
      <c r="A42" s="53"/>
      <c r="B42" s="53"/>
      <c r="C42" s="53"/>
      <c r="D42" s="53"/>
      <c r="E42" s="58">
        <f t="shared" si="0"/>
        <v>0</v>
      </c>
    </row>
    <row r="43" spans="1:5" x14ac:dyDescent="0.25">
      <c r="A43" s="53"/>
      <c r="B43" s="53"/>
      <c r="C43" s="53"/>
      <c r="D43" s="53"/>
      <c r="E43" s="58">
        <f t="shared" si="0"/>
        <v>0</v>
      </c>
    </row>
    <row r="44" spans="1:5" x14ac:dyDescent="0.25">
      <c r="A44" s="53"/>
      <c r="B44" s="53"/>
      <c r="C44" s="53"/>
      <c r="D44" s="53"/>
      <c r="E44" s="58">
        <f t="shared" si="0"/>
        <v>0</v>
      </c>
    </row>
    <row r="45" spans="1:5" x14ac:dyDescent="0.25">
      <c r="A45" s="53"/>
      <c r="B45" s="53"/>
      <c r="C45" s="53"/>
      <c r="D45" s="53"/>
      <c r="E45" s="58">
        <f t="shared" si="0"/>
        <v>0</v>
      </c>
    </row>
    <row r="46" spans="1:5" x14ac:dyDescent="0.25">
      <c r="A46" s="53"/>
      <c r="B46" s="53"/>
      <c r="C46" s="53"/>
      <c r="D46" s="53"/>
      <c r="E46" s="58">
        <f t="shared" si="0"/>
        <v>0</v>
      </c>
    </row>
    <row r="47" spans="1:5" x14ac:dyDescent="0.25">
      <c r="A47" s="53"/>
      <c r="B47" s="53"/>
      <c r="C47" s="53"/>
      <c r="D47" s="53"/>
      <c r="E47" s="58">
        <f t="shared" si="0"/>
        <v>0</v>
      </c>
    </row>
    <row r="48" spans="1:5" x14ac:dyDescent="0.25">
      <c r="A48" s="53"/>
      <c r="B48" s="53"/>
      <c r="C48" s="53"/>
      <c r="D48" s="53"/>
      <c r="E48" s="58">
        <f t="shared" si="0"/>
        <v>0</v>
      </c>
    </row>
    <row r="49" spans="1:5" x14ac:dyDescent="0.25">
      <c r="A49" s="53"/>
      <c r="B49" s="53"/>
      <c r="C49" s="53"/>
      <c r="D49" s="53"/>
      <c r="E49" s="58">
        <f t="shared" si="0"/>
        <v>0</v>
      </c>
    </row>
    <row r="50" spans="1:5" x14ac:dyDescent="0.25">
      <c r="A50" s="53" t="s">
        <v>468</v>
      </c>
      <c r="B50" s="53" t="e">
        <f>SUM(B2:B49)</f>
        <v>#REF!</v>
      </c>
      <c r="C50" s="53" t="e">
        <f t="shared" ref="C50:D50" si="2">SUM(C2:C49)</f>
        <v>#REF!</v>
      </c>
      <c r="D50" s="53" t="e">
        <f t="shared" si="2"/>
        <v>#REF!</v>
      </c>
      <c r="E50" s="58" t="e">
        <f>SUM(E2:E49)</f>
        <v>#REF!</v>
      </c>
    </row>
  </sheetData>
  <mergeCells count="8">
    <mergeCell ref="H10:I10"/>
    <mergeCell ref="H8:I8"/>
    <mergeCell ref="H7:I7"/>
    <mergeCell ref="J1:J2"/>
    <mergeCell ref="H1:I1"/>
    <mergeCell ref="H4:I4"/>
    <mergeCell ref="H5:I5"/>
    <mergeCell ref="H9:I9"/>
  </mergeCells>
  <pageMargins left="0.7" right="0.7" top="0.75" bottom="0.75" header="0.3" footer="0.3"/>
  <pageSetup paperSize="9" orientation="portrait" horizontalDpi="0" verticalDpi="0"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6">
    <tabColor rgb="FFFFFF00"/>
  </sheetPr>
  <dimension ref="A1:J50"/>
  <sheetViews>
    <sheetView topLeftCell="B1" workbookViewId="0">
      <selection activeCell="A23" sqref="A23:B23"/>
    </sheetView>
  </sheetViews>
  <sheetFormatPr baseColWidth="10" defaultRowHeight="15" x14ac:dyDescent="0.25"/>
  <cols>
    <col min="1" max="1" width="34.85546875" customWidth="1"/>
    <col min="2" max="3" width="19.5703125" customWidth="1"/>
    <col min="4" max="4" width="17.42578125" customWidth="1"/>
    <col min="5" max="6" width="17.140625" style="51" customWidth="1"/>
    <col min="7" max="7" width="39.28515625" customWidth="1"/>
  </cols>
  <sheetData>
    <row r="1" spans="1:10" x14ac:dyDescent="0.25">
      <c r="A1" s="48" t="s">
        <v>463</v>
      </c>
      <c r="B1" s="48" t="s">
        <v>1</v>
      </c>
      <c r="C1" s="48" t="s">
        <v>3</v>
      </c>
      <c r="D1" s="48" t="s">
        <v>4</v>
      </c>
      <c r="E1" s="49" t="s">
        <v>469</v>
      </c>
      <c r="F1" s="49" t="s">
        <v>21</v>
      </c>
      <c r="G1" s="48" t="s">
        <v>5</v>
      </c>
      <c r="H1" s="65" t="s">
        <v>2</v>
      </c>
      <c r="I1" s="65" t="s">
        <v>480</v>
      </c>
      <c r="J1" s="65" t="s">
        <v>481</v>
      </c>
    </row>
    <row r="2" spans="1:10" x14ac:dyDescent="0.25">
      <c r="A2" s="47" t="e">
        <f>#REF!</f>
        <v>#REF!</v>
      </c>
      <c r="B2" s="47" t="e">
        <f>#REF!</f>
        <v>#REF!</v>
      </c>
      <c r="C2" s="47" t="e">
        <f>#REF!</f>
        <v>#REF!</v>
      </c>
      <c r="D2" s="47" t="e">
        <f>#REF!</f>
        <v>#REF!</v>
      </c>
      <c r="E2" s="50" t="e">
        <f>#REF!</f>
        <v>#REF!</v>
      </c>
      <c r="F2" s="50" t="e">
        <f>#REF!</f>
        <v>#REF!</v>
      </c>
      <c r="G2" s="47" t="e">
        <f>#REF!</f>
        <v>#REF!</v>
      </c>
    </row>
    <row r="3" spans="1:10" x14ac:dyDescent="0.25">
      <c r="A3" s="47"/>
      <c r="B3" s="47"/>
      <c r="C3" s="47"/>
      <c r="D3" s="47"/>
      <c r="E3" s="50"/>
      <c r="F3" s="50"/>
      <c r="G3" s="47"/>
    </row>
    <row r="4" spans="1:10" x14ac:dyDescent="0.25">
      <c r="A4" s="47"/>
      <c r="B4" s="47"/>
      <c r="C4" s="47"/>
      <c r="D4" s="47"/>
      <c r="E4" s="50"/>
      <c r="F4" s="50"/>
      <c r="G4" s="47"/>
    </row>
    <row r="5" spans="1:10" x14ac:dyDescent="0.25">
      <c r="A5" s="47"/>
      <c r="B5" s="47"/>
      <c r="C5" s="47"/>
      <c r="D5" s="47"/>
      <c r="E5" s="50"/>
      <c r="F5" s="50"/>
      <c r="G5" s="47"/>
    </row>
    <row r="6" spans="1:10" x14ac:dyDescent="0.25">
      <c r="A6" s="47"/>
      <c r="B6" s="47"/>
      <c r="C6" s="47"/>
      <c r="D6" s="47"/>
      <c r="E6" s="50"/>
      <c r="F6" s="50"/>
      <c r="G6" s="47"/>
    </row>
    <row r="7" spans="1:10" x14ac:dyDescent="0.25">
      <c r="A7" s="47"/>
      <c r="B7" s="47"/>
      <c r="C7" s="47"/>
      <c r="D7" s="47"/>
      <c r="E7" s="50"/>
      <c r="F7" s="50"/>
      <c r="G7" s="47"/>
    </row>
    <row r="8" spans="1:10" x14ac:dyDescent="0.25">
      <c r="A8" s="47"/>
      <c r="B8" s="47"/>
      <c r="C8" s="47"/>
      <c r="D8" s="47"/>
      <c r="E8" s="50"/>
      <c r="F8" s="50"/>
      <c r="G8" s="47"/>
    </row>
    <row r="9" spans="1:10" x14ac:dyDescent="0.25">
      <c r="A9" s="47"/>
      <c r="B9" s="47"/>
      <c r="C9" s="47"/>
      <c r="D9" s="47"/>
      <c r="E9" s="50"/>
      <c r="F9" s="50"/>
      <c r="G9" s="47"/>
    </row>
    <row r="10" spans="1:10" x14ac:dyDescent="0.25">
      <c r="A10" s="47"/>
      <c r="B10" s="47"/>
      <c r="C10" s="47"/>
      <c r="D10" s="47"/>
      <c r="E10" s="50"/>
      <c r="F10" s="50"/>
      <c r="G10" s="47"/>
    </row>
    <row r="11" spans="1:10" x14ac:dyDescent="0.25">
      <c r="A11" s="47"/>
      <c r="B11" s="47"/>
      <c r="C11" s="47"/>
      <c r="D11" s="47"/>
      <c r="E11" s="50"/>
      <c r="F11" s="50"/>
      <c r="G11" s="47"/>
    </row>
    <row r="12" spans="1:10" x14ac:dyDescent="0.25">
      <c r="A12" s="47"/>
      <c r="B12" s="47"/>
      <c r="C12" s="47"/>
      <c r="D12" s="47"/>
      <c r="E12" s="50"/>
      <c r="F12" s="50"/>
      <c r="G12" s="47"/>
    </row>
    <row r="13" spans="1:10" x14ac:dyDescent="0.25">
      <c r="A13" s="47"/>
      <c r="B13" s="47"/>
      <c r="C13" s="47"/>
      <c r="D13" s="47"/>
      <c r="E13" s="50"/>
      <c r="F13" s="50"/>
      <c r="G13" s="47"/>
    </row>
    <row r="14" spans="1:10" x14ac:dyDescent="0.25">
      <c r="A14" s="47"/>
      <c r="B14" s="47"/>
      <c r="C14" s="47"/>
      <c r="D14" s="47"/>
      <c r="E14" s="50"/>
      <c r="F14" s="50"/>
      <c r="G14" s="47"/>
    </row>
    <row r="15" spans="1:10" x14ac:dyDescent="0.25">
      <c r="A15" s="47"/>
      <c r="B15" s="47"/>
      <c r="C15" s="47"/>
      <c r="D15" s="47"/>
      <c r="E15" s="50"/>
      <c r="F15" s="50"/>
      <c r="G15" s="47"/>
    </row>
    <row r="16" spans="1:10" x14ac:dyDescent="0.25">
      <c r="A16" s="47"/>
      <c r="B16" s="47"/>
      <c r="C16" s="47"/>
      <c r="D16" s="47"/>
      <c r="E16" s="50"/>
      <c r="F16" s="50"/>
      <c r="G16" s="47"/>
    </row>
    <row r="17" spans="1:7" x14ac:dyDescent="0.25">
      <c r="A17" s="47"/>
      <c r="B17" s="47"/>
      <c r="C17" s="47"/>
      <c r="D17" s="47"/>
      <c r="E17" s="50"/>
      <c r="F17" s="50"/>
      <c r="G17" s="47"/>
    </row>
    <row r="18" spans="1:7" x14ac:dyDescent="0.25">
      <c r="A18" s="47"/>
      <c r="B18" s="47"/>
      <c r="C18" s="47"/>
      <c r="D18" s="47"/>
      <c r="E18" s="50"/>
      <c r="F18" s="50"/>
      <c r="G18" s="47"/>
    </row>
    <row r="19" spans="1:7" x14ac:dyDescent="0.25">
      <c r="A19" s="47"/>
      <c r="B19" s="47"/>
      <c r="C19" s="47"/>
      <c r="D19" s="47"/>
      <c r="E19" s="50"/>
      <c r="F19" s="50"/>
      <c r="G19" s="47"/>
    </row>
    <row r="20" spans="1:7" x14ac:dyDescent="0.25">
      <c r="A20" s="47"/>
      <c r="B20" s="47"/>
      <c r="C20" s="47"/>
      <c r="D20" s="47"/>
      <c r="E20" s="50"/>
      <c r="F20" s="50"/>
      <c r="G20" s="47"/>
    </row>
    <row r="21" spans="1:7" x14ac:dyDescent="0.25">
      <c r="A21" s="47"/>
      <c r="B21" s="47"/>
      <c r="C21" s="47"/>
      <c r="D21" s="47"/>
      <c r="E21" s="50"/>
      <c r="F21" s="50"/>
      <c r="G21" s="47"/>
    </row>
    <row r="22" spans="1:7" x14ac:dyDescent="0.25">
      <c r="A22" s="47"/>
      <c r="B22" s="47"/>
      <c r="C22" s="47"/>
      <c r="D22" s="47"/>
      <c r="E22" s="50"/>
      <c r="F22" s="50"/>
      <c r="G22" s="47"/>
    </row>
    <row r="23" spans="1:7" x14ac:dyDescent="0.25">
      <c r="A23" s="47"/>
      <c r="B23" s="47"/>
      <c r="C23" s="47"/>
      <c r="D23" s="47"/>
      <c r="E23" s="50"/>
      <c r="F23" s="50"/>
      <c r="G23" s="47"/>
    </row>
    <row r="24" spans="1:7" x14ac:dyDescent="0.25">
      <c r="A24" s="47"/>
      <c r="B24" s="47"/>
      <c r="C24" s="47"/>
      <c r="D24" s="47"/>
      <c r="E24" s="50"/>
      <c r="F24" s="50"/>
      <c r="G24" s="47"/>
    </row>
    <row r="25" spans="1:7" x14ac:dyDescent="0.25">
      <c r="A25" s="47"/>
      <c r="B25" s="47"/>
      <c r="C25" s="47"/>
      <c r="D25" s="47"/>
      <c r="E25" s="50"/>
      <c r="F25" s="50"/>
      <c r="G25" s="47"/>
    </row>
    <row r="26" spans="1:7" x14ac:dyDescent="0.25">
      <c r="A26" s="47"/>
      <c r="B26" s="47"/>
      <c r="C26" s="47"/>
      <c r="D26" s="47"/>
      <c r="E26" s="50"/>
      <c r="F26" s="50"/>
      <c r="G26" s="47"/>
    </row>
    <row r="27" spans="1:7" x14ac:dyDescent="0.25">
      <c r="A27" s="47"/>
      <c r="B27" s="47"/>
      <c r="C27" s="47"/>
      <c r="D27" s="47"/>
      <c r="E27" s="50"/>
      <c r="F27" s="50"/>
      <c r="G27" s="47"/>
    </row>
    <row r="28" spans="1:7" x14ac:dyDescent="0.25">
      <c r="A28" s="47"/>
      <c r="B28" s="47"/>
      <c r="C28" s="47"/>
      <c r="D28" s="47"/>
      <c r="E28" s="50"/>
      <c r="F28" s="50"/>
      <c r="G28" s="47"/>
    </row>
    <row r="29" spans="1:7" x14ac:dyDescent="0.25">
      <c r="A29" s="47"/>
      <c r="B29" s="47"/>
      <c r="C29" s="47"/>
      <c r="D29" s="47"/>
      <c r="E29" s="50"/>
      <c r="F29" s="50"/>
      <c r="G29" s="47"/>
    </row>
    <row r="30" spans="1:7" x14ac:dyDescent="0.25">
      <c r="A30" s="47"/>
      <c r="B30" s="47"/>
      <c r="C30" s="47"/>
      <c r="D30" s="47"/>
      <c r="E30" s="50"/>
      <c r="F30" s="50"/>
      <c r="G30" s="47"/>
    </row>
    <row r="31" spans="1:7" x14ac:dyDescent="0.25">
      <c r="A31" s="47"/>
      <c r="B31" s="47"/>
      <c r="C31" s="47"/>
      <c r="D31" s="47"/>
      <c r="E31" s="50"/>
      <c r="F31" s="50"/>
      <c r="G31" s="47"/>
    </row>
    <row r="32" spans="1:7" x14ac:dyDescent="0.25">
      <c r="A32" s="47"/>
      <c r="B32" s="47"/>
      <c r="C32" s="47"/>
      <c r="D32" s="47"/>
      <c r="E32" s="50"/>
      <c r="F32" s="50"/>
      <c r="G32" s="47"/>
    </row>
    <row r="33" spans="1:7" x14ac:dyDescent="0.25">
      <c r="A33" s="47"/>
      <c r="B33" s="47"/>
      <c r="C33" s="47"/>
      <c r="D33" s="47"/>
      <c r="E33" s="50"/>
      <c r="F33" s="50"/>
      <c r="G33" s="47"/>
    </row>
    <row r="34" spans="1:7" x14ac:dyDescent="0.25">
      <c r="A34" s="47"/>
      <c r="B34" s="47"/>
      <c r="C34" s="47"/>
      <c r="D34" s="47"/>
      <c r="E34" s="50"/>
      <c r="F34" s="50"/>
      <c r="G34" s="47"/>
    </row>
    <row r="35" spans="1:7" x14ac:dyDescent="0.25">
      <c r="A35" s="47"/>
      <c r="B35" s="47"/>
      <c r="C35" s="47"/>
      <c r="D35" s="47"/>
      <c r="E35" s="50"/>
      <c r="F35" s="50"/>
      <c r="G35" s="47"/>
    </row>
    <row r="36" spans="1:7" x14ac:dyDescent="0.25">
      <c r="A36" s="47"/>
      <c r="B36" s="47"/>
      <c r="C36" s="47"/>
      <c r="D36" s="47"/>
      <c r="E36" s="50"/>
      <c r="F36" s="50"/>
      <c r="G36" s="47"/>
    </row>
    <row r="37" spans="1:7" x14ac:dyDescent="0.25">
      <c r="A37" s="47"/>
      <c r="B37" s="47"/>
      <c r="C37" s="47"/>
      <c r="D37" s="47"/>
      <c r="E37" s="50"/>
      <c r="F37" s="50"/>
      <c r="G37" s="47"/>
    </row>
    <row r="38" spans="1:7" x14ac:dyDescent="0.25">
      <c r="A38" s="47"/>
      <c r="B38" s="47"/>
      <c r="C38" s="47"/>
      <c r="D38" s="47"/>
      <c r="E38" s="50"/>
      <c r="F38" s="50"/>
      <c r="G38" s="47"/>
    </row>
    <row r="39" spans="1:7" x14ac:dyDescent="0.25">
      <c r="A39" s="47"/>
      <c r="B39" s="47"/>
      <c r="C39" s="47"/>
      <c r="D39" s="47"/>
      <c r="E39" s="50"/>
      <c r="F39" s="50"/>
      <c r="G39" s="47"/>
    </row>
    <row r="40" spans="1:7" x14ac:dyDescent="0.25">
      <c r="A40" s="47"/>
      <c r="B40" s="47"/>
      <c r="C40" s="47"/>
      <c r="D40" s="47"/>
      <c r="E40" s="50"/>
      <c r="F40" s="50"/>
      <c r="G40" s="47"/>
    </row>
    <row r="41" spans="1:7" x14ac:dyDescent="0.25">
      <c r="A41" s="47"/>
      <c r="B41" s="47"/>
      <c r="C41" s="47"/>
      <c r="D41" s="47"/>
      <c r="E41" s="50"/>
      <c r="F41" s="50"/>
      <c r="G41" s="47"/>
    </row>
    <row r="42" spans="1:7" x14ac:dyDescent="0.25">
      <c r="A42" s="47"/>
      <c r="B42" s="47"/>
      <c r="C42" s="47"/>
      <c r="D42" s="47"/>
      <c r="E42" s="50"/>
      <c r="F42" s="50"/>
      <c r="G42" s="47"/>
    </row>
    <row r="43" spans="1:7" x14ac:dyDescent="0.25">
      <c r="A43" s="47"/>
      <c r="B43" s="47"/>
      <c r="C43" s="47"/>
      <c r="D43" s="47"/>
      <c r="E43" s="50"/>
      <c r="F43" s="50"/>
      <c r="G43" s="47"/>
    </row>
    <row r="44" spans="1:7" x14ac:dyDescent="0.25">
      <c r="A44" s="47"/>
      <c r="B44" s="47"/>
      <c r="C44" s="47"/>
      <c r="D44" s="47"/>
      <c r="E44" s="50"/>
      <c r="F44" s="50"/>
      <c r="G44" s="47"/>
    </row>
    <row r="45" spans="1:7" x14ac:dyDescent="0.25">
      <c r="A45" s="47"/>
      <c r="B45" s="47"/>
      <c r="C45" s="47"/>
      <c r="D45" s="47"/>
      <c r="E45" s="50"/>
      <c r="F45" s="50"/>
      <c r="G45" s="47"/>
    </row>
    <row r="46" spans="1:7" x14ac:dyDescent="0.25">
      <c r="A46" s="47"/>
      <c r="B46" s="47"/>
      <c r="C46" s="47"/>
      <c r="D46" s="47"/>
      <c r="E46" s="50"/>
      <c r="F46" s="50"/>
      <c r="G46" s="47"/>
    </row>
    <row r="47" spans="1:7" x14ac:dyDescent="0.25">
      <c r="A47" s="47"/>
      <c r="B47" s="47"/>
      <c r="C47" s="47"/>
      <c r="D47" s="47"/>
      <c r="E47" s="50"/>
      <c r="F47" s="50"/>
      <c r="G47" s="47"/>
    </row>
    <row r="48" spans="1:7" x14ac:dyDescent="0.25">
      <c r="A48" s="47"/>
      <c r="B48" s="47"/>
      <c r="C48" s="47"/>
      <c r="D48" s="47"/>
      <c r="E48" s="50"/>
      <c r="F48" s="50"/>
      <c r="G48" s="47"/>
    </row>
    <row r="49" spans="1:7" x14ac:dyDescent="0.25">
      <c r="A49" s="47"/>
      <c r="B49" s="47"/>
      <c r="C49" s="47"/>
      <c r="D49" s="47"/>
      <c r="E49" s="50"/>
      <c r="F49" s="50"/>
      <c r="G49" s="47"/>
    </row>
    <row r="50" spans="1:7" x14ac:dyDescent="0.25">
      <c r="A50" s="47"/>
      <c r="B50" s="47"/>
      <c r="C50" s="47"/>
      <c r="D50" s="47"/>
      <c r="E50" s="50"/>
      <c r="F50" s="50"/>
      <c r="G50" s="47"/>
    </row>
  </sheetData>
  <pageMargins left="0.7" right="0.7" top="0.75" bottom="0.75" header="0.3" footer="0.3"/>
  <pageSetup paperSize="9" orientation="portrait" horizontalDpi="0" verticalDpi="0"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7">
    <tabColor rgb="FFFF0000"/>
  </sheetPr>
  <dimension ref="A1:G51"/>
  <sheetViews>
    <sheetView workbookViewId="0">
      <pane ySplit="1" topLeftCell="A2" activePane="bottomLeft" state="frozen"/>
      <selection pane="bottomLeft" activeCell="I12" sqref="I12"/>
    </sheetView>
  </sheetViews>
  <sheetFormatPr baseColWidth="10" defaultRowHeight="15" x14ac:dyDescent="0.25"/>
  <cols>
    <col min="1" max="1" width="18.85546875" customWidth="1"/>
    <col min="2" max="2" width="18.85546875" style="73" customWidth="1"/>
    <col min="3" max="3" width="18.85546875" customWidth="1"/>
    <col min="4" max="7" width="18.85546875" style="73" customWidth="1"/>
  </cols>
  <sheetData>
    <row r="1" spans="1:7" x14ac:dyDescent="0.25">
      <c r="A1" s="72" t="s">
        <v>482</v>
      </c>
      <c r="B1" s="72" t="s">
        <v>480</v>
      </c>
      <c r="C1" s="72" t="s">
        <v>483</v>
      </c>
      <c r="D1" s="72" t="s">
        <v>484</v>
      </c>
      <c r="E1" s="72" t="s">
        <v>485</v>
      </c>
      <c r="F1" s="72" t="s">
        <v>486</v>
      </c>
      <c r="G1" s="72" t="s">
        <v>487</v>
      </c>
    </row>
    <row r="2" spans="1:7" x14ac:dyDescent="0.25">
      <c r="A2" s="80" t="s">
        <v>34</v>
      </c>
      <c r="B2" s="81">
        <v>47923</v>
      </c>
      <c r="C2" s="80" t="s">
        <v>489</v>
      </c>
      <c r="D2" s="81" t="s">
        <v>37</v>
      </c>
      <c r="E2" s="81">
        <v>144</v>
      </c>
      <c r="F2" s="81" t="s">
        <v>30</v>
      </c>
      <c r="G2" s="81"/>
    </row>
    <row r="3" spans="1:7" x14ac:dyDescent="0.25">
      <c r="A3" s="80" t="s">
        <v>91</v>
      </c>
      <c r="B3" s="81">
        <v>84902</v>
      </c>
      <c r="C3" s="80" t="s">
        <v>493</v>
      </c>
      <c r="D3" s="81" t="s">
        <v>37</v>
      </c>
      <c r="E3" s="81">
        <v>0</v>
      </c>
      <c r="F3" s="81">
        <v>0</v>
      </c>
      <c r="G3" s="81"/>
    </row>
    <row r="4" spans="1:7" x14ac:dyDescent="0.25">
      <c r="A4" s="80" t="s">
        <v>157</v>
      </c>
      <c r="B4" s="81">
        <v>62321</v>
      </c>
      <c r="C4" s="80" t="s">
        <v>515</v>
      </c>
      <c r="D4" s="81" t="s">
        <v>154</v>
      </c>
      <c r="E4" s="81">
        <v>156</v>
      </c>
      <c r="F4" s="81"/>
      <c r="G4" s="81"/>
    </row>
    <row r="5" spans="1:7" x14ac:dyDescent="0.25">
      <c r="A5" s="80" t="s">
        <v>198</v>
      </c>
      <c r="B5" s="81">
        <v>62107</v>
      </c>
      <c r="C5" s="80" t="s">
        <v>519</v>
      </c>
      <c r="D5" s="81">
        <v>3</v>
      </c>
      <c r="E5" s="81">
        <v>432</v>
      </c>
      <c r="F5" s="81"/>
      <c r="G5" s="81"/>
    </row>
    <row r="6" spans="1:7" x14ac:dyDescent="0.25">
      <c r="A6" s="80" t="s">
        <v>192</v>
      </c>
      <c r="B6" s="81">
        <v>73011</v>
      </c>
      <c r="C6" s="80" t="s">
        <v>499</v>
      </c>
      <c r="D6" s="81">
        <v>3</v>
      </c>
      <c r="E6" s="81">
        <v>240</v>
      </c>
      <c r="F6" s="81"/>
      <c r="G6" s="81"/>
    </row>
    <row r="7" spans="1:7" x14ac:dyDescent="0.25">
      <c r="A7" s="80" t="s">
        <v>65</v>
      </c>
      <c r="B7" s="81">
        <v>62022</v>
      </c>
      <c r="C7" s="80" t="s">
        <v>491</v>
      </c>
      <c r="D7" s="81">
        <v>3</v>
      </c>
      <c r="E7" s="81"/>
      <c r="F7" s="81">
        <v>350</v>
      </c>
      <c r="G7" s="81"/>
    </row>
    <row r="8" spans="1:7" x14ac:dyDescent="0.25">
      <c r="A8" s="80" t="s">
        <v>77</v>
      </c>
      <c r="B8" s="81">
        <v>89011</v>
      </c>
      <c r="C8" s="80" t="s">
        <v>492</v>
      </c>
      <c r="D8" s="81" t="s">
        <v>37</v>
      </c>
      <c r="E8" s="81">
        <v>156</v>
      </c>
      <c r="F8" s="81"/>
      <c r="G8" s="81"/>
    </row>
    <row r="9" spans="1:7" x14ac:dyDescent="0.25">
      <c r="A9" s="80" t="s">
        <v>98</v>
      </c>
      <c r="B9" s="81">
        <v>50303</v>
      </c>
      <c r="C9" s="80" t="s">
        <v>497</v>
      </c>
      <c r="D9" s="81" t="s">
        <v>37</v>
      </c>
      <c r="E9" s="81"/>
      <c r="F9" s="81">
        <v>50</v>
      </c>
      <c r="G9" s="81"/>
    </row>
    <row r="10" spans="1:7" x14ac:dyDescent="0.25">
      <c r="A10" s="80" t="s">
        <v>134</v>
      </c>
      <c r="B10" s="81">
        <v>60021</v>
      </c>
      <c r="C10" s="80" t="s">
        <v>511</v>
      </c>
      <c r="D10" s="81" t="s">
        <v>37</v>
      </c>
      <c r="E10" s="81">
        <v>144</v>
      </c>
      <c r="F10" s="81"/>
      <c r="G10" s="81"/>
    </row>
    <row r="11" spans="1:7" x14ac:dyDescent="0.25">
      <c r="A11" s="80" t="s">
        <v>301</v>
      </c>
      <c r="B11" s="81">
        <v>94270</v>
      </c>
      <c r="C11" s="80" t="s">
        <v>300</v>
      </c>
      <c r="D11" s="81">
        <v>3</v>
      </c>
      <c r="E11" s="81">
        <v>162</v>
      </c>
      <c r="F11" s="81"/>
      <c r="G11" s="81"/>
    </row>
    <row r="12" spans="1:7" x14ac:dyDescent="0.25">
      <c r="A12" s="80" t="s">
        <v>146</v>
      </c>
      <c r="B12" s="81">
        <v>41016</v>
      </c>
      <c r="C12" s="80" t="s">
        <v>495</v>
      </c>
      <c r="D12" s="81" t="s">
        <v>154</v>
      </c>
      <c r="E12" s="81">
        <v>120</v>
      </c>
      <c r="F12" s="81"/>
      <c r="G12" s="81"/>
    </row>
    <row r="13" spans="1:7" x14ac:dyDescent="0.25">
      <c r="A13" s="80" t="s">
        <v>220</v>
      </c>
      <c r="B13" s="81">
        <v>49325</v>
      </c>
      <c r="C13" s="80" t="s">
        <v>523</v>
      </c>
      <c r="D13" s="81" t="s">
        <v>37</v>
      </c>
      <c r="E13" s="81">
        <v>144</v>
      </c>
      <c r="F13" s="81"/>
      <c r="G13" s="81"/>
    </row>
    <row r="14" spans="1:7" x14ac:dyDescent="0.25">
      <c r="A14" s="80" t="s">
        <v>246</v>
      </c>
      <c r="B14" s="81">
        <v>77300</v>
      </c>
      <c r="C14" s="80" t="s">
        <v>245</v>
      </c>
      <c r="D14" s="81" t="s">
        <v>37</v>
      </c>
      <c r="E14" s="81">
        <v>100</v>
      </c>
      <c r="F14" s="81"/>
      <c r="G14" s="81"/>
    </row>
    <row r="15" spans="1:7" x14ac:dyDescent="0.25">
      <c r="A15" s="80" t="s">
        <v>317</v>
      </c>
      <c r="B15" s="81">
        <v>62307</v>
      </c>
      <c r="C15" s="80" t="s">
        <v>545</v>
      </c>
      <c r="D15" s="81">
        <v>3</v>
      </c>
      <c r="E15" s="81">
        <v>344</v>
      </c>
      <c r="F15" s="81"/>
      <c r="G15" s="81"/>
    </row>
    <row r="16" spans="1:7" x14ac:dyDescent="0.25">
      <c r="A16" s="80" t="s">
        <v>268</v>
      </c>
      <c r="B16" s="81">
        <v>77600</v>
      </c>
      <c r="C16" s="80" t="s">
        <v>533</v>
      </c>
      <c r="D16" s="81" t="s">
        <v>37</v>
      </c>
      <c r="E16" s="81">
        <v>500</v>
      </c>
      <c r="F16" s="81"/>
      <c r="G16" s="81"/>
    </row>
    <row r="17" spans="1:7" x14ac:dyDescent="0.25">
      <c r="A17" s="80" t="s">
        <v>345</v>
      </c>
      <c r="B17" s="81">
        <v>22023</v>
      </c>
      <c r="C17" s="80" t="s">
        <v>552</v>
      </c>
      <c r="D17" s="81">
        <v>3</v>
      </c>
      <c r="E17" s="81" t="s">
        <v>348</v>
      </c>
      <c r="F17" s="81"/>
      <c r="G17" s="81"/>
    </row>
    <row r="18" spans="1:7" x14ac:dyDescent="0.25">
      <c r="A18" s="80" t="s">
        <v>428</v>
      </c>
      <c r="B18" s="81">
        <v>17108</v>
      </c>
      <c r="C18" s="80" t="s">
        <v>427</v>
      </c>
      <c r="D18" s="81" t="s">
        <v>37</v>
      </c>
      <c r="E18" s="81">
        <v>36</v>
      </c>
      <c r="F18" s="81"/>
      <c r="G18" s="81"/>
    </row>
    <row r="19" spans="1:7" x14ac:dyDescent="0.25">
      <c r="A19" s="80" t="s">
        <v>369</v>
      </c>
      <c r="B19" s="81">
        <v>59322</v>
      </c>
      <c r="C19" s="80" t="s">
        <v>568</v>
      </c>
      <c r="D19" s="81">
        <v>3</v>
      </c>
      <c r="E19" s="81"/>
      <c r="F19" s="81">
        <v>350</v>
      </c>
      <c r="G19" s="81"/>
    </row>
    <row r="20" spans="1:7" x14ac:dyDescent="0.25">
      <c r="A20" s="80" t="s">
        <v>275</v>
      </c>
      <c r="B20" s="81">
        <v>85000</v>
      </c>
      <c r="C20" s="80" t="s">
        <v>274</v>
      </c>
      <c r="D20" s="81" t="s">
        <v>37</v>
      </c>
      <c r="E20" s="81"/>
      <c r="F20" s="81"/>
      <c r="G20" s="81"/>
    </row>
    <row r="21" spans="1:7" x14ac:dyDescent="0.25">
      <c r="A21" s="80" t="s">
        <v>353</v>
      </c>
      <c r="B21" s="81">
        <v>38506</v>
      </c>
      <c r="C21" s="80" t="s">
        <v>572</v>
      </c>
      <c r="D21" s="81" t="s">
        <v>37</v>
      </c>
      <c r="E21" s="81">
        <v>120</v>
      </c>
      <c r="F21" s="81"/>
      <c r="G21" s="81"/>
    </row>
    <row r="22" spans="1:7" x14ac:dyDescent="0.25">
      <c r="A22" s="80" t="s">
        <v>259</v>
      </c>
      <c r="B22" s="81">
        <v>67504</v>
      </c>
      <c r="C22" s="80" t="s">
        <v>531</v>
      </c>
      <c r="D22" s="81" t="s">
        <v>37</v>
      </c>
      <c r="E22" s="81">
        <v>300</v>
      </c>
      <c r="F22" s="81"/>
      <c r="G22" s="81"/>
    </row>
    <row r="23" spans="1:7" x14ac:dyDescent="0.25">
      <c r="A23" s="80" t="s">
        <v>306</v>
      </c>
      <c r="B23" s="81">
        <v>72037</v>
      </c>
      <c r="C23" s="80" t="s">
        <v>541</v>
      </c>
      <c r="D23" s="81">
        <v>3</v>
      </c>
      <c r="E23" s="81">
        <v>160</v>
      </c>
      <c r="F23" s="81"/>
      <c r="G23" s="81"/>
    </row>
    <row r="24" spans="1:7" x14ac:dyDescent="0.25">
      <c r="A24" s="80" t="s">
        <v>447</v>
      </c>
      <c r="B24" s="81" t="s">
        <v>549</v>
      </c>
      <c r="C24" s="80"/>
      <c r="D24" s="81"/>
      <c r="E24" s="81"/>
      <c r="F24" s="81"/>
      <c r="G24" s="81"/>
    </row>
    <row r="25" spans="1:7" x14ac:dyDescent="0.25">
      <c r="A25" s="80" t="s">
        <v>324</v>
      </c>
      <c r="B25" s="81">
        <v>33500</v>
      </c>
      <c r="C25" s="80" t="s">
        <v>323</v>
      </c>
      <c r="D25" s="81" t="s">
        <v>37</v>
      </c>
      <c r="E25" s="81"/>
      <c r="F25" s="81">
        <v>100</v>
      </c>
      <c r="G25" s="81"/>
    </row>
    <row r="26" spans="1:7" x14ac:dyDescent="0.25">
      <c r="A26" s="80" t="s">
        <v>421</v>
      </c>
      <c r="B26" s="81">
        <v>44606</v>
      </c>
      <c r="C26" s="80" t="s">
        <v>556</v>
      </c>
      <c r="D26" s="81" t="s">
        <v>37</v>
      </c>
      <c r="E26" s="81"/>
      <c r="F26" s="81">
        <v>150</v>
      </c>
      <c r="G26" s="81"/>
    </row>
    <row r="27" spans="1:7" x14ac:dyDescent="0.25">
      <c r="A27" t="s">
        <v>240</v>
      </c>
      <c r="B27" s="73">
        <v>95600</v>
      </c>
      <c r="C27" t="s">
        <v>526</v>
      </c>
      <c r="D27" s="73" t="s">
        <v>37</v>
      </c>
      <c r="E27" s="73">
        <v>300</v>
      </c>
    </row>
    <row r="28" spans="1:7" x14ac:dyDescent="0.25">
      <c r="A28" s="80" t="s">
        <v>183</v>
      </c>
      <c r="B28" s="81">
        <v>91100</v>
      </c>
      <c r="C28" s="80" t="s">
        <v>501</v>
      </c>
      <c r="D28" s="81">
        <v>3</v>
      </c>
      <c r="E28" s="81">
        <v>480</v>
      </c>
      <c r="F28" s="81"/>
      <c r="G28" s="81"/>
    </row>
    <row r="29" spans="1:7" x14ac:dyDescent="0.25">
      <c r="A29" s="80" t="s">
        <v>117</v>
      </c>
      <c r="B29" s="81">
        <v>95107</v>
      </c>
      <c r="C29" s="80" t="s">
        <v>507</v>
      </c>
      <c r="D29" s="81">
        <v>3</v>
      </c>
      <c r="E29" s="81">
        <v>252</v>
      </c>
      <c r="F29" s="81"/>
      <c r="G29" s="81"/>
    </row>
    <row r="30" spans="1:7" x14ac:dyDescent="0.25">
      <c r="A30" s="80" t="s">
        <v>361</v>
      </c>
      <c r="B30" s="81">
        <v>56017</v>
      </c>
      <c r="C30" s="80" t="s">
        <v>570</v>
      </c>
      <c r="D30" s="81">
        <v>3</v>
      </c>
      <c r="E30" s="81"/>
      <c r="F30" s="81"/>
      <c r="G30" s="81"/>
    </row>
    <row r="31" spans="1:7" x14ac:dyDescent="0.25">
      <c r="A31" s="80" t="s">
        <v>164</v>
      </c>
      <c r="B31" s="81">
        <v>94010</v>
      </c>
      <c r="C31" s="80" t="s">
        <v>505</v>
      </c>
      <c r="D31" s="81">
        <v>3</v>
      </c>
      <c r="E31" s="81" t="s">
        <v>166</v>
      </c>
      <c r="F31" s="81"/>
      <c r="G31" s="81"/>
    </row>
    <row r="32" spans="1:7" x14ac:dyDescent="0.25">
      <c r="A32" s="80" t="s">
        <v>126</v>
      </c>
      <c r="B32" s="81">
        <v>64109</v>
      </c>
      <c r="C32" s="80" t="s">
        <v>509</v>
      </c>
      <c r="D32" s="81">
        <v>3</v>
      </c>
      <c r="E32" s="81"/>
      <c r="F32" s="81">
        <v>150</v>
      </c>
      <c r="G32" s="81"/>
    </row>
    <row r="33" spans="1:7" x14ac:dyDescent="0.25">
      <c r="A33" s="80" t="s">
        <v>396</v>
      </c>
      <c r="B33" s="81">
        <v>57126</v>
      </c>
      <c r="C33" s="80" t="s">
        <v>563</v>
      </c>
      <c r="D33" s="81" t="s">
        <v>37</v>
      </c>
      <c r="E33" s="81">
        <v>112</v>
      </c>
      <c r="F33" s="81"/>
      <c r="G33" s="81"/>
    </row>
    <row r="34" spans="1:7" x14ac:dyDescent="0.25">
      <c r="A34" s="80" t="s">
        <v>389</v>
      </c>
      <c r="B34" s="81">
        <v>31059</v>
      </c>
      <c r="C34" s="80" t="s">
        <v>565</v>
      </c>
      <c r="D34" s="81">
        <v>3</v>
      </c>
      <c r="E34" s="81">
        <v>1800</v>
      </c>
      <c r="F34" s="81"/>
      <c r="G34" s="81"/>
    </row>
    <row r="35" spans="1:7" x14ac:dyDescent="0.25">
      <c r="A35" s="80" t="s">
        <v>376</v>
      </c>
      <c r="B35" s="81">
        <v>37000</v>
      </c>
      <c r="C35" s="80" t="s">
        <v>375</v>
      </c>
      <c r="D35" s="81">
        <v>3</v>
      </c>
      <c r="E35" s="81">
        <v>324</v>
      </c>
      <c r="F35" s="81"/>
      <c r="G35" s="81"/>
    </row>
    <row r="36" spans="1:7" x14ac:dyDescent="0.25">
      <c r="A36" s="80" t="s">
        <v>206</v>
      </c>
      <c r="B36" s="81">
        <v>63003</v>
      </c>
      <c r="C36" s="80" t="s">
        <v>521</v>
      </c>
      <c r="D36" s="81">
        <v>3</v>
      </c>
      <c r="E36" s="81"/>
      <c r="F36" s="81"/>
      <c r="G36" s="81"/>
    </row>
    <row r="37" spans="1:7" x14ac:dyDescent="0.25">
      <c r="A37" s="80" t="s">
        <v>108</v>
      </c>
      <c r="B37" s="81">
        <v>80054</v>
      </c>
      <c r="C37" s="80" t="s">
        <v>488</v>
      </c>
      <c r="D37" s="81">
        <v>3</v>
      </c>
      <c r="E37" s="81">
        <v>312</v>
      </c>
      <c r="F37" s="81"/>
      <c r="G37" s="81"/>
    </row>
    <row r="38" spans="1:7" x14ac:dyDescent="0.25">
      <c r="A38" s="80" t="s">
        <v>51</v>
      </c>
      <c r="B38" s="81">
        <v>49933</v>
      </c>
      <c r="C38" s="80" t="s">
        <v>490</v>
      </c>
      <c r="D38" s="81">
        <v>3</v>
      </c>
      <c r="E38" s="81">
        <v>204</v>
      </c>
      <c r="F38" s="81"/>
      <c r="G38" s="81"/>
    </row>
    <row r="39" spans="1:7" x14ac:dyDescent="0.25">
      <c r="A39" s="80" t="s">
        <v>257</v>
      </c>
      <c r="B39" s="81">
        <v>38700</v>
      </c>
      <c r="C39" s="80" t="s">
        <v>529</v>
      </c>
      <c r="D39" s="81">
        <v>3</v>
      </c>
      <c r="E39" s="81"/>
      <c r="F39" s="81">
        <v>300</v>
      </c>
      <c r="G39" s="81"/>
    </row>
    <row r="40" spans="1:7" x14ac:dyDescent="0.25">
      <c r="A40" s="80" t="s">
        <v>434</v>
      </c>
      <c r="B40" s="81">
        <v>42244</v>
      </c>
      <c r="C40" s="80" t="s">
        <v>554</v>
      </c>
      <c r="D40" s="81">
        <v>3</v>
      </c>
      <c r="E40" s="81"/>
      <c r="F40" s="81">
        <v>250</v>
      </c>
      <c r="G40" s="81"/>
    </row>
    <row r="41" spans="1:7" x14ac:dyDescent="0.25">
      <c r="A41" s="80" t="s">
        <v>404</v>
      </c>
      <c r="B41" s="81">
        <v>67098</v>
      </c>
      <c r="C41" s="80" t="s">
        <v>561</v>
      </c>
      <c r="D41" s="81">
        <v>3</v>
      </c>
      <c r="E41" s="81">
        <v>500</v>
      </c>
      <c r="F41" s="81"/>
      <c r="G41" s="81"/>
    </row>
    <row r="42" spans="1:7" x14ac:dyDescent="0.25">
      <c r="A42" s="80" t="s">
        <v>313</v>
      </c>
      <c r="B42" s="81">
        <v>72058</v>
      </c>
      <c r="C42" s="80" t="s">
        <v>543</v>
      </c>
      <c r="D42" s="81" t="s">
        <v>37</v>
      </c>
      <c r="E42" s="81"/>
      <c r="F42" s="81">
        <v>100</v>
      </c>
      <c r="G42" s="81"/>
    </row>
    <row r="43" spans="1:7" x14ac:dyDescent="0.25">
      <c r="A43" s="80" t="s">
        <v>232</v>
      </c>
      <c r="B43" s="81">
        <v>21000</v>
      </c>
      <c r="C43" s="80" t="s">
        <v>231</v>
      </c>
      <c r="D43" s="81" t="s">
        <v>37</v>
      </c>
      <c r="E43" s="81">
        <v>96</v>
      </c>
      <c r="F43" s="81"/>
      <c r="G43" s="81"/>
    </row>
    <row r="44" spans="1:7" x14ac:dyDescent="0.25">
      <c r="A44" s="80" t="s">
        <v>332</v>
      </c>
      <c r="B44" s="81">
        <v>59024</v>
      </c>
      <c r="C44" s="80" t="s">
        <v>548</v>
      </c>
      <c r="D44" s="81" t="s">
        <v>37</v>
      </c>
      <c r="E44" s="81"/>
      <c r="F44" s="81"/>
      <c r="G44" s="81"/>
    </row>
    <row r="45" spans="1:7" x14ac:dyDescent="0.25">
      <c r="A45" s="80" t="s">
        <v>291</v>
      </c>
      <c r="B45" s="81">
        <v>76290</v>
      </c>
      <c r="C45" s="80" t="s">
        <v>538</v>
      </c>
      <c r="D45" s="81">
        <v>3</v>
      </c>
      <c r="E45" s="81">
        <v>500</v>
      </c>
      <c r="F45" s="81">
        <v>350</v>
      </c>
      <c r="G45" s="81"/>
    </row>
    <row r="46" spans="1:7" x14ac:dyDescent="0.25">
      <c r="A46" s="80" t="s">
        <v>176</v>
      </c>
      <c r="B46" s="81">
        <v>60109</v>
      </c>
      <c r="C46" s="80" t="s">
        <v>503</v>
      </c>
      <c r="D46" s="81">
        <v>3</v>
      </c>
      <c r="E46" s="81">
        <v>336</v>
      </c>
      <c r="F46" s="81"/>
      <c r="G46" s="81"/>
    </row>
    <row r="47" spans="1:7" x14ac:dyDescent="0.25">
      <c r="A47" s="80" t="s">
        <v>414</v>
      </c>
      <c r="B47" s="81">
        <v>92151</v>
      </c>
      <c r="C47" s="80" t="s">
        <v>559</v>
      </c>
      <c r="D47" s="81" t="s">
        <v>37</v>
      </c>
      <c r="E47" s="81">
        <v>144</v>
      </c>
      <c r="F47" s="81"/>
      <c r="G47" s="81"/>
    </row>
    <row r="48" spans="1:7" x14ac:dyDescent="0.25">
      <c r="A48" s="80" t="s">
        <v>140</v>
      </c>
      <c r="B48" s="81">
        <v>93143</v>
      </c>
      <c r="C48" s="80" t="s">
        <v>513</v>
      </c>
      <c r="D48" s="81" t="s">
        <v>37</v>
      </c>
      <c r="E48" s="81">
        <v>276</v>
      </c>
      <c r="F48" s="81"/>
      <c r="G48" s="81"/>
    </row>
    <row r="49" spans="1:7" x14ac:dyDescent="0.25">
      <c r="A49" s="80" t="s">
        <v>0</v>
      </c>
      <c r="B49" s="81">
        <v>94360</v>
      </c>
      <c r="C49" s="80" t="s">
        <v>517</v>
      </c>
      <c r="D49" s="81" t="s">
        <v>15</v>
      </c>
      <c r="E49" s="81" t="s">
        <v>16</v>
      </c>
      <c r="F49" s="81" t="s">
        <v>30</v>
      </c>
      <c r="G49" s="81"/>
    </row>
    <row r="50" spans="1:7" x14ac:dyDescent="0.25">
      <c r="A50" s="80" t="s">
        <v>283</v>
      </c>
      <c r="B50" s="81">
        <v>93156</v>
      </c>
      <c r="C50" s="80" t="s">
        <v>536</v>
      </c>
      <c r="D50" s="81" t="s">
        <v>37</v>
      </c>
      <c r="E50" s="81">
        <v>180</v>
      </c>
      <c r="F50" s="81"/>
      <c r="G50" s="81"/>
    </row>
    <row r="51" spans="1:7" x14ac:dyDescent="0.25">
      <c r="A51" s="80"/>
      <c r="B51" s="81"/>
      <c r="C51" s="80"/>
      <c r="D51" s="81"/>
      <c r="E51" s="81"/>
      <c r="F51" s="81"/>
      <c r="G51" s="81"/>
    </row>
  </sheetData>
  <autoFilter ref="A1:G51">
    <sortState ref="A2:G51">
      <sortCondition ref="A1:A52"/>
      <sortCondition ref="A1:A200000"/>
    </sortState>
  </autoFilter>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57</vt:i4>
      </vt:variant>
    </vt:vector>
  </HeadingPairs>
  <TitlesOfParts>
    <vt:vector size="57" baseType="lpstr">
      <vt:lpstr>Modèle</vt:lpstr>
      <vt:lpstr>Agen</vt:lpstr>
      <vt:lpstr>Amiens</vt:lpstr>
      <vt:lpstr>Angers</vt:lpstr>
      <vt:lpstr>Arras</vt:lpstr>
      <vt:lpstr>Auxerre</vt:lpstr>
      <vt:lpstr>Avignon</vt:lpstr>
      <vt:lpstr>Avranches</vt:lpstr>
      <vt:lpstr>Argenteuil</vt:lpstr>
      <vt:lpstr>Bayonne</vt:lpstr>
      <vt:lpstr>Beauvais</vt:lpstr>
      <vt:lpstr>Blois</vt:lpstr>
      <vt:lpstr>Bondy</vt:lpstr>
      <vt:lpstr>Boulogne sur Mer</vt:lpstr>
      <vt:lpstr>Bry sur Marne</vt:lpstr>
      <vt:lpstr>Calais</vt:lpstr>
      <vt:lpstr>Chambéry</vt:lpstr>
      <vt:lpstr>Corbeil Essonne</vt:lpstr>
      <vt:lpstr>Creil</vt:lpstr>
      <vt:lpstr>Créteil</vt:lpstr>
      <vt:lpstr>Clermont Ferrand</vt:lpstr>
      <vt:lpstr>Cholet</vt:lpstr>
      <vt:lpstr>Dijon</vt:lpstr>
      <vt:lpstr>Eaubonne</vt:lpstr>
      <vt:lpstr>Fontainebleau</vt:lpstr>
      <vt:lpstr>Grenoble</vt:lpstr>
      <vt:lpstr>Hagueneau</vt:lpstr>
      <vt:lpstr>Jossigny</vt:lpstr>
      <vt:lpstr>La Roche sur Yon</vt:lpstr>
      <vt:lpstr>Le Blanc Mesnil</vt:lpstr>
      <vt:lpstr>Le Havre</vt:lpstr>
      <vt:lpstr>Le Kremlin Bicetre</vt:lpstr>
      <vt:lpstr>Le Mans</vt:lpstr>
      <vt:lpstr>Le Mans Clinique</vt:lpstr>
      <vt:lpstr>Lens</vt:lpstr>
      <vt:lpstr>Libourne</vt:lpstr>
      <vt:lpstr>Lille Saint Vincent</vt:lpstr>
      <vt:lpstr>Monaco</vt:lpstr>
      <vt:lpstr>Saint Brieuc</vt:lpstr>
      <vt:lpstr>Saint Etienne</vt:lpstr>
      <vt:lpstr>Saint Nazaire</vt:lpstr>
      <vt:lpstr>Saintes</vt:lpstr>
      <vt:lpstr>Surennes</vt:lpstr>
      <vt:lpstr>Strasbourg</vt:lpstr>
      <vt:lpstr>Thionville</vt:lpstr>
      <vt:lpstr>Toulouse</vt:lpstr>
      <vt:lpstr>Tours</vt:lpstr>
      <vt:lpstr>Valenciennes</vt:lpstr>
      <vt:lpstr>Vannes</vt:lpstr>
      <vt:lpstr>Voiron</vt:lpstr>
      <vt:lpstr>Recap Adresses</vt:lpstr>
      <vt:lpstr>Récap Mail</vt:lpstr>
      <vt:lpstr>Recap Téléphones</vt:lpstr>
      <vt:lpstr>Recap Niveau</vt:lpstr>
      <vt:lpstr>Recap Livraisons</vt:lpstr>
      <vt:lpstr>Recap Personnel Hopitaux</vt:lpstr>
      <vt:lpstr>Synthèse</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2015-10-02T13:09:35Z</dcterms:modified>
</cp:coreProperties>
</file>